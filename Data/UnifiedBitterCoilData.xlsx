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6761171857/WOPIServiceId_TP_BOX_2/WOPIUserId_-/"/>
    </mc:Choice>
  </mc:AlternateContent>
  <xr:revisionPtr revIDLastSave="22" documentId="13_ncr:1_{CECE2F9E-B665-9044-A0CC-E094AEEB2207}" xr6:coauthVersionLast="47" xr6:coauthVersionMax="47" xr10:uidLastSave="{4EE971CE-7D47-6446-A017-066B080FFB7E}"/>
  <bookViews>
    <workbookView xWindow="0" yWindow="660" windowWidth="30240" windowHeight="17740" xr2:uid="{00000000-000D-0000-FFFF-FFFF00000000}"/>
  </bookViews>
  <sheets>
    <sheet name="C1 Thermal 6_10_26" sheetId="46" r:id="rId1"/>
    <sheet name="C2 Thermal 4_13_26" sheetId="42" r:id="rId2"/>
    <sheet name="Thermal 3_18_26" sheetId="43" r:id="rId3"/>
    <sheet name="Thermal 3_05_26" sheetId="41" r:id="rId4"/>
    <sheet name="Coil 2 Resistance 6_15_26" sheetId="45" r:id="rId5"/>
    <sheet name="Coil 1 Resistance 6_15_26" sheetId="44" r:id="rId6"/>
    <sheet name="Resistance 2_19_26" sheetId="40" r:id="rId7"/>
    <sheet name="Coil 1 Resistance 7_29_25 (UTD)" sheetId="1" r:id="rId8"/>
    <sheet name="Coil 2 Resistance 8_01_25 (UTD)" sheetId="2" r:id="rId9"/>
    <sheet name="Coil 1 B-Field 8_04_25 (UTD)" sheetId="3" r:id="rId10"/>
    <sheet name="Coil 2 B-Field 8_13_25 (UTD)" sheetId="4" r:id="rId11"/>
    <sheet name="Coil 1 Temps 8_7_25 PC (UTD)" sheetId="5" r:id="rId12"/>
    <sheet name="Coil 2 Temps 8_7_25 PC (UTD) " sheetId="6" r:id="rId13"/>
    <sheet name="Bitter Coil Impedance 1_25_24 " sheetId="7" r:id="rId14"/>
    <sheet name="Coil Temps SC 7_23_25" sheetId="8" r:id="rId15"/>
    <sheet name="Coil 1 Temps 7_30_25 SC" sheetId="9" r:id="rId16"/>
    <sheet name="Coil 1 Resistance 7_28_25" sheetId="10" r:id="rId17"/>
    <sheet name=" Old Coil 1 Resistance 7_21_25" sheetId="12" r:id="rId18"/>
    <sheet name="Old Coil 2 Resistance 7_21_25" sheetId="13" r:id="rId19"/>
    <sheet name="Coil 1 Resistance 7_8_25" sheetId="14" r:id="rId20"/>
    <sheet name="Coil 2 Resistance 7_8_25" sheetId="11" r:id="rId21"/>
    <sheet name="Coil 1 Resistance 6_25_25" sheetId="15" r:id="rId22"/>
    <sheet name="Coil 2 Resistance 6_24_25" sheetId="16" r:id="rId23"/>
    <sheet name="Coil Resistance 6_20_25" sheetId="17" r:id="rId24"/>
    <sheet name="Coil Resistance 4_24_25" sheetId="18" r:id="rId25"/>
    <sheet name="Coil Resistance 10_24_24" sheetId="19" r:id="rId26"/>
    <sheet name="Coil Resistance 5_2_24" sheetId="20" r:id="rId27"/>
    <sheet name="Coil Resistance 4_24_24" sheetId="21" r:id="rId28"/>
    <sheet name="Coil Resistance 5_2_23" sheetId="22" r:id="rId29"/>
    <sheet name="Coil Resistance 4_26_23" sheetId="23" r:id="rId30"/>
    <sheet name="Temps 5_2_24 (WW)" sheetId="24" r:id="rId31"/>
    <sheet name="Temps 5_2_24 (2) (WW)" sheetId="28" r:id="rId32"/>
    <sheet name="Temps 4_26_24  (WW)" sheetId="25" r:id="rId33"/>
    <sheet name="Temps 1_25_24 (4) (WW)" sheetId="26" r:id="rId34"/>
    <sheet name="Temps 1_25_24 (3) (WW)" sheetId="27" r:id="rId35"/>
    <sheet name="B-Field Coil 2 8_04_25 New Coil" sheetId="29" r:id="rId36"/>
    <sheet name="Coil B_Field 5_9_24" sheetId="30" r:id="rId37"/>
    <sheet name="Coil B_Field 11_27_23" sheetId="31" r:id="rId38"/>
    <sheet name="Coil B_Fields 11_27_23 (2)" sheetId="32" r:id="rId39"/>
    <sheet name="Coil B_Fields 11_27_23 (3)" sheetId="33" r:id="rId40"/>
    <sheet name="Coil B_Fields 11_27_23 (4)" sheetId="34" r:id="rId41"/>
    <sheet name="Coil B_Fields 11_6_23" sheetId="35" r:id="rId42"/>
    <sheet name="Coil B_Fields 11_1_23" sheetId="36" r:id="rId43"/>
    <sheet name="Coil B_Fields 11_1_23 (2)" sheetId="37" r:id="rId44"/>
    <sheet name="Coil Inductance 1_25_24 (2)" sheetId="38" r:id="rId4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45" l="1"/>
  <c r="D39" i="45" s="1"/>
  <c r="C38" i="45"/>
  <c r="D38" i="45" s="1"/>
  <c r="C37" i="45"/>
  <c r="D37" i="45" s="1"/>
  <c r="C36" i="45"/>
  <c r="D36" i="45" s="1"/>
  <c r="C35" i="45"/>
  <c r="D35" i="45" s="1"/>
  <c r="C34" i="45"/>
  <c r="D34" i="45" s="1"/>
  <c r="C33" i="45"/>
  <c r="D33" i="45" s="1"/>
  <c r="C32" i="45"/>
  <c r="D32" i="45" s="1"/>
  <c r="C31" i="45"/>
  <c r="D31" i="45" s="1"/>
  <c r="C30" i="45"/>
  <c r="D30" i="45" s="1"/>
  <c r="C29" i="45"/>
  <c r="D29" i="45" s="1"/>
  <c r="C28" i="45"/>
  <c r="D28" i="45" s="1"/>
  <c r="C27" i="45"/>
  <c r="D27" i="45" s="1"/>
  <c r="C26" i="45"/>
  <c r="D26" i="45" s="1"/>
  <c r="C25" i="45"/>
  <c r="D25" i="45" s="1"/>
  <c r="C24" i="45"/>
  <c r="D24" i="45" s="1"/>
  <c r="C23" i="45"/>
  <c r="D23" i="45" s="1"/>
  <c r="C22" i="45"/>
  <c r="D22" i="45" s="1"/>
  <c r="C21" i="45"/>
  <c r="D21" i="45" s="1"/>
  <c r="C20" i="45"/>
  <c r="D20" i="45" s="1"/>
  <c r="C19" i="45"/>
  <c r="D19" i="45" s="1"/>
  <c r="C18" i="45"/>
  <c r="D18" i="45" s="1"/>
  <c r="C17" i="45"/>
  <c r="D17" i="45" s="1"/>
  <c r="C16" i="45"/>
  <c r="D16" i="45" s="1"/>
  <c r="C15" i="45"/>
  <c r="D15" i="45" s="1"/>
  <c r="C14" i="45"/>
  <c r="D14" i="45" s="1"/>
  <c r="C13" i="45"/>
  <c r="D13" i="45" s="1"/>
  <c r="C12" i="45"/>
  <c r="D12" i="45" s="1"/>
  <c r="C11" i="45"/>
  <c r="D11" i="45" s="1"/>
  <c r="C10" i="45"/>
  <c r="D10" i="45" s="1"/>
  <c r="C9" i="45"/>
  <c r="D9" i="45" s="1"/>
  <c r="C8" i="45"/>
  <c r="D8" i="45" s="1"/>
  <c r="C7" i="45"/>
  <c r="D7" i="45" s="1"/>
  <c r="C6" i="45"/>
  <c r="D6" i="45" s="1"/>
  <c r="C5" i="45"/>
  <c r="D5" i="45" s="1"/>
  <c r="D4" i="45"/>
  <c r="C39" i="44"/>
  <c r="D39" i="44" s="1"/>
  <c r="C38" i="44"/>
  <c r="D38" i="44" s="1"/>
  <c r="C37" i="44"/>
  <c r="D37" i="44" s="1"/>
  <c r="C36" i="44"/>
  <c r="D36" i="44" s="1"/>
  <c r="C35" i="44"/>
  <c r="D35" i="44" s="1"/>
  <c r="C34" i="44"/>
  <c r="D34" i="44" s="1"/>
  <c r="C33" i="44"/>
  <c r="D33" i="44" s="1"/>
  <c r="C32" i="44"/>
  <c r="D32" i="44" s="1"/>
  <c r="C31" i="44"/>
  <c r="D31" i="44" s="1"/>
  <c r="C30" i="44"/>
  <c r="D30" i="44" s="1"/>
  <c r="C29" i="44"/>
  <c r="D29" i="44" s="1"/>
  <c r="C28" i="44"/>
  <c r="D28" i="44" s="1"/>
  <c r="C27" i="44"/>
  <c r="D27" i="44" s="1"/>
  <c r="C26" i="44"/>
  <c r="D26" i="44" s="1"/>
  <c r="C25" i="44"/>
  <c r="D25" i="44" s="1"/>
  <c r="C24" i="44"/>
  <c r="D24" i="44" s="1"/>
  <c r="C23" i="44"/>
  <c r="D23" i="44" s="1"/>
  <c r="C22" i="44"/>
  <c r="D22" i="44" s="1"/>
  <c r="C21" i="44"/>
  <c r="D21" i="44" s="1"/>
  <c r="C20" i="44"/>
  <c r="D20" i="44" s="1"/>
  <c r="C19" i="44"/>
  <c r="D19" i="44" s="1"/>
  <c r="C18" i="44"/>
  <c r="D18" i="44" s="1"/>
  <c r="C17" i="44"/>
  <c r="D17" i="44" s="1"/>
  <c r="C16" i="44"/>
  <c r="D16" i="44" s="1"/>
  <c r="C15" i="44"/>
  <c r="D15" i="44" s="1"/>
  <c r="C14" i="44"/>
  <c r="D14" i="44" s="1"/>
  <c r="C13" i="44"/>
  <c r="D13" i="44" s="1"/>
  <c r="C12" i="44"/>
  <c r="D12" i="44" s="1"/>
  <c r="C11" i="44"/>
  <c r="D11" i="44" s="1"/>
  <c r="C10" i="44"/>
  <c r="D10" i="44" s="1"/>
  <c r="C9" i="44"/>
  <c r="D9" i="44" s="1"/>
  <c r="C8" i="44"/>
  <c r="D8" i="44" s="1"/>
  <c r="C7" i="44"/>
  <c r="D7" i="44" s="1"/>
  <c r="C6" i="44"/>
  <c r="D6" i="44" s="1"/>
  <c r="C5" i="44"/>
  <c r="D5" i="44" s="1"/>
  <c r="D4" i="44"/>
  <c r="C3" i="40"/>
  <c r="E3" i="40"/>
  <c r="C4" i="40"/>
  <c r="E4" i="40"/>
  <c r="C5" i="40"/>
  <c r="C40" i="40" s="1"/>
  <c r="E5" i="40"/>
  <c r="E40" i="40" s="1"/>
  <c r="C6" i="40"/>
  <c r="E6" i="40"/>
  <c r="C7" i="40"/>
  <c r="E7" i="40"/>
  <c r="C8" i="40"/>
  <c r="E8" i="40"/>
  <c r="C9" i="40"/>
  <c r="E9" i="40"/>
  <c r="C10" i="40"/>
  <c r="E10" i="40"/>
  <c r="C11" i="40"/>
  <c r="E11" i="40"/>
  <c r="C12" i="40"/>
  <c r="E12" i="40"/>
  <c r="C13" i="40"/>
  <c r="E13" i="40"/>
  <c r="C14" i="40"/>
  <c r="E14" i="40"/>
  <c r="C15" i="40"/>
  <c r="E15" i="40"/>
  <c r="C16" i="40"/>
  <c r="E16" i="40"/>
  <c r="C17" i="40"/>
  <c r="E17" i="40"/>
  <c r="C18" i="40"/>
  <c r="E18" i="40"/>
  <c r="C19" i="40"/>
  <c r="E19" i="40"/>
  <c r="C20" i="40"/>
  <c r="E20" i="40"/>
  <c r="C21" i="40"/>
  <c r="E21" i="40"/>
  <c r="C22" i="40"/>
  <c r="E22" i="40"/>
  <c r="C23" i="40"/>
  <c r="E23" i="40"/>
  <c r="C24" i="40"/>
  <c r="E24" i="40"/>
  <c r="C25" i="40"/>
  <c r="E25" i="40"/>
  <c r="C26" i="40"/>
  <c r="E26" i="40"/>
  <c r="C27" i="40"/>
  <c r="E27" i="40"/>
  <c r="C28" i="40"/>
  <c r="E28" i="40"/>
  <c r="C29" i="40"/>
  <c r="E29" i="40"/>
  <c r="C30" i="40"/>
  <c r="E30" i="40"/>
  <c r="C31" i="40"/>
  <c r="E31" i="40"/>
  <c r="C32" i="40"/>
  <c r="E32" i="40"/>
  <c r="C33" i="40"/>
  <c r="E33" i="40"/>
  <c r="C34" i="40"/>
  <c r="E34" i="40"/>
  <c r="C35" i="40"/>
  <c r="E35" i="40"/>
  <c r="C36" i="40"/>
  <c r="E36" i="40"/>
  <c r="C37" i="40"/>
  <c r="E37" i="40"/>
  <c r="C38" i="40"/>
  <c r="E38" i="40"/>
  <c r="D26" i="35"/>
  <c r="E47" i="34"/>
  <c r="D34" i="33"/>
  <c r="L34" i="32"/>
  <c r="I30" i="32"/>
  <c r="F35" i="32"/>
  <c r="C29" i="32"/>
  <c r="C13" i="26"/>
  <c r="D13" i="26"/>
  <c r="E13" i="26"/>
  <c r="F13" i="26"/>
  <c r="G13" i="26"/>
  <c r="B13" i="26"/>
  <c r="E35" i="25"/>
  <c r="F35" i="25"/>
  <c r="G35" i="25"/>
  <c r="H35" i="25"/>
  <c r="D35" i="25"/>
  <c r="E23" i="24"/>
  <c r="F23" i="24"/>
  <c r="G23" i="24"/>
  <c r="H23" i="24"/>
  <c r="D23" i="24"/>
  <c r="B34" i="21"/>
  <c r="F48" i="20"/>
  <c r="C35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2" i="17"/>
  <c r="C3" i="13"/>
  <c r="K13" i="9"/>
  <c r="E13" i="9"/>
  <c r="F13" i="9"/>
  <c r="G13" i="9"/>
  <c r="H13" i="9"/>
  <c r="I13" i="9"/>
  <c r="J13" i="9"/>
  <c r="D13" i="9"/>
  <c r="D12" i="8"/>
  <c r="E12" i="8"/>
  <c r="F12" i="8"/>
  <c r="G12" i="8"/>
  <c r="H12" i="8"/>
  <c r="I12" i="8"/>
  <c r="J12" i="8"/>
  <c r="C12" i="8"/>
  <c r="B4" i="9"/>
  <c r="B5" i="9"/>
  <c r="B6" i="9"/>
  <c r="B7" i="9"/>
  <c r="B8" i="9"/>
  <c r="B9" i="9"/>
  <c r="B10" i="9"/>
  <c r="B11" i="9"/>
  <c r="B3" i="9"/>
  <c r="E12" i="5"/>
  <c r="F12" i="5"/>
  <c r="G12" i="5"/>
  <c r="H12" i="5"/>
  <c r="I12" i="5"/>
  <c r="J12" i="5"/>
  <c r="K12" i="5"/>
  <c r="D12" i="5"/>
  <c r="E13" i="6"/>
  <c r="F13" i="6"/>
  <c r="G13" i="6"/>
  <c r="H13" i="6"/>
  <c r="I13" i="6"/>
  <c r="J13" i="6"/>
  <c r="K13" i="6"/>
  <c r="D13" i="6"/>
  <c r="C3" i="6"/>
  <c r="C4" i="6"/>
  <c r="C5" i="6"/>
  <c r="C6" i="6"/>
  <c r="C7" i="6"/>
  <c r="C8" i="6"/>
  <c r="C9" i="6"/>
  <c r="C10" i="6"/>
  <c r="C11" i="6"/>
  <c r="C2" i="6"/>
  <c r="C3" i="5"/>
  <c r="C4" i="5"/>
  <c r="C5" i="5"/>
  <c r="C6" i="5"/>
  <c r="C7" i="5"/>
  <c r="C8" i="5"/>
  <c r="C9" i="5"/>
  <c r="C10" i="5"/>
  <c r="C2" i="5"/>
  <c r="G44" i="2"/>
  <c r="G43" i="2"/>
  <c r="G42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9" i="1"/>
  <c r="G48" i="1"/>
  <c r="G47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<sst xmlns="http://schemas.openxmlformats.org/spreadsheetml/2006/main" count="890" uniqueCount="442">
  <si>
    <t>Water in</t>
  </si>
  <si>
    <t>Water out</t>
  </si>
  <si>
    <t>Brass disc outside</t>
  </si>
  <si>
    <t>Lower coil outside</t>
  </si>
  <si>
    <t>Middle coil outside</t>
  </si>
  <si>
    <t>Upper coil outside</t>
  </si>
  <si>
    <t>Lower coil inside</t>
  </si>
  <si>
    <t>Upper coil inside</t>
  </si>
  <si>
    <t>0A</t>
  </si>
  <si>
    <t>100A</t>
  </si>
  <si>
    <t>150A</t>
  </si>
  <si>
    <t>200A</t>
  </si>
  <si>
    <t>250A</t>
  </si>
  <si>
    <t>300A</t>
  </si>
  <si>
    <t>350A</t>
  </si>
  <si>
    <t>Based on rebuilt C2</t>
  </si>
  <si>
    <t>Brass disc</t>
  </si>
  <si>
    <t>Coil lower outside</t>
  </si>
  <si>
    <t>Coil upper inside</t>
  </si>
  <si>
    <t>Upper bus bar</t>
  </si>
  <si>
    <t>Lower bus bar</t>
  </si>
  <si>
    <t>Between bus bars</t>
  </si>
  <si>
    <t>Based on old top coil with 1 GPM of flow.</t>
  </si>
  <si>
    <t>Current</t>
  </si>
  <si>
    <t>Bottom plate</t>
  </si>
  <si>
    <t>Coil bottom outside</t>
  </si>
  <si>
    <t>Coil top inside</t>
  </si>
  <si>
    <t>Top bus bar</t>
  </si>
  <si>
    <t>Bottom bus bar</t>
  </si>
  <si>
    <t>Current carrying screw</t>
  </si>
  <si>
    <t xml:space="preserve">Based on coil 1 from 2025 with new water manifold, with  0.95 GPM in main coil, 0.59 GPM in bus bars, and 6 PSI dropped across main coil </t>
  </si>
  <si>
    <t>C1</t>
  </si>
  <si>
    <t>C2</t>
  </si>
  <si>
    <t>Summary</t>
  </si>
  <si>
    <t>Position</t>
  </si>
  <si>
    <t>Voltage (mV)</t>
  </si>
  <si>
    <t>Resistance (mΩ)</t>
  </si>
  <si>
    <t>input</t>
  </si>
  <si>
    <t>handle (in)</t>
  </si>
  <si>
    <t>handle (out)</t>
  </si>
  <si>
    <t>output</t>
  </si>
  <si>
    <t>total</t>
  </si>
  <si>
    <t>Total Resistance (mΩ)</t>
  </si>
  <si>
    <t>Layer Resistance (mΩ)</t>
  </si>
  <si>
    <t xml:space="preserve"> Layer</t>
  </si>
  <si>
    <t>BB1</t>
  </si>
  <si>
    <t>BB1-BS</t>
  </si>
  <si>
    <t>BS-BP</t>
  </si>
  <si>
    <t>BP-1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</si>
  <si>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</si>
  <si>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</si>
  <si>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</si>
  <si>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</si>
  <si>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</si>
  <si>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</si>
  <si>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</si>
  <si>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</si>
  <si>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</si>
  <si>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</si>
  <si>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</si>
  <si>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</si>
  <si>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</si>
  <si>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</si>
  <si>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</si>
  <si>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</si>
  <si>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</si>
  <si>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</si>
  <si>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31-BB2</t>
  </si>
  <si>
    <t>Important Coil Layer Resistance Statistics (for (1-2)-(30-31))</t>
  </si>
  <si>
    <t>Coil 1</t>
  </si>
  <si>
    <t>Coil 2</t>
  </si>
  <si>
    <t>Both Coils</t>
  </si>
  <si>
    <t>Minimum</t>
  </si>
  <si>
    <t>Average</t>
  </si>
  <si>
    <t>Median</t>
  </si>
  <si>
    <t>Standard Deviation</t>
  </si>
  <si>
    <t>Maximum</t>
  </si>
  <si>
    <t>Layer</t>
  </si>
  <si>
    <t>Layer Resistance (m
Ω)</t>
  </si>
  <si>
    <t>Distance from Coil Bottom (mm)</t>
  </si>
  <si>
    <t>Magnetic Field (Gauss)</t>
  </si>
  <si>
    <t>Coil Bottom Approximately Here: 2.947 inches from the top</t>
  </si>
  <si>
    <t>Atoms approximately here 17 mm from coil bottom</t>
  </si>
  <si>
    <t>Important Fields</t>
  </si>
  <si>
    <t>Measured for Coil 1</t>
  </si>
  <si>
    <t>Measured for Coil 2</t>
  </si>
  <si>
    <t>Simulated</t>
  </si>
  <si>
    <t>Top of Plastic Piece (74.85 mm above bottom)</t>
  </si>
  <si>
    <t>126.29 G</t>
  </si>
  <si>
    <t>119.2 G</t>
  </si>
  <si>
    <t>Max Field (22.4663 mm above Coil Bottom)</t>
  </si>
  <si>
    <t>410.04 G</t>
  </si>
  <si>
    <t>413.44 G  (at 25.6413 mm above Coil Bottom)</t>
  </si>
  <si>
    <t>(Sim max is 391.87 G at 25.167 mm above the coil bottom)</t>
  </si>
  <si>
    <t>Bottom of Coil (technically 0.2413 mm above)</t>
  </si>
  <si>
    <t>285.49 G</t>
  </si>
  <si>
    <t>285.69 G</t>
  </si>
  <si>
    <t>Atom Location (atoms actually at 17 mm, but measurement location at 17.2212 mm below Coil Bottom)</t>
  </si>
  <si>
    <t>161.04 G</t>
  </si>
  <si>
    <t>164.34 G</t>
  </si>
  <si>
    <t>410.04 G (at 22.4663 mm above Coil Bottom)</t>
  </si>
  <si>
    <t>Max Field (25.6413 mm above Coil Bottom for Coil 2)</t>
  </si>
  <si>
    <t>Voltage</t>
  </si>
  <si>
    <t>Power</t>
  </si>
  <si>
    <t>Inlet tube</t>
  </si>
  <si>
    <t>BB2 (top, non water cooled part)</t>
  </si>
  <si>
    <t>Screw</t>
  </si>
  <si>
    <t>BP</t>
  </si>
  <si>
    <t>Coil Low Outer (Tape layer to not ruin thermocouple BP measurement)</t>
  </si>
  <si>
    <t>Coil High Inner</t>
  </si>
  <si>
    <t>Outlet tube</t>
  </si>
  <si>
    <t>Notes</t>
  </si>
  <si>
    <t>No Parallel Cooling</t>
  </si>
  <si>
    <t>Cooling On</t>
  </si>
  <si>
    <t>Total Temperature Change (°C)</t>
  </si>
  <si>
    <t>Experiment Details</t>
  </si>
  <si>
    <t>Cooling System: Parallel</t>
  </si>
  <si>
    <t>Water Flow: 1.75 gal/min</t>
  </si>
  <si>
    <t>Flow to Coil: 1.28 gal/min</t>
  </si>
  <si>
    <t>Flow to Bus Bars 0.47 gal/min</t>
  </si>
  <si>
    <t>Inward Pressure: 25 PSI</t>
  </si>
  <si>
    <t>Outward Pressure: 10 PSI</t>
  </si>
  <si>
    <t>Cooling Source: Chiller set to 14°C</t>
  </si>
  <si>
    <t>Time Between Tempeatures: 6 minutes</t>
  </si>
  <si>
    <t>No Cooling</t>
  </si>
  <si>
    <t>Frequency (Hz)</t>
  </si>
  <si>
    <t>Impedence (Ω) </t>
  </si>
  <si>
    <t>Coil Voltage (mv) </t>
  </si>
  <si>
    <t>100 Ohm Resistor Voltage (mv) </t>
  </si>
  <si>
    <t>Angular Frequency (rad/s)</t>
  </si>
  <si>
    <t>2 </t>
  </si>
  <si>
    <t>0.007966101695 </t>
  </si>
  <si>
    <t>18.8 </t>
  </si>
  <si>
    <t>236 </t>
  </si>
  <si>
    <t>12.56637061 </t>
  </si>
  <si>
    <t>5 </t>
  </si>
  <si>
    <t>0.008333333333 </t>
  </si>
  <si>
    <t>20.0 </t>
  </si>
  <si>
    <t>240 </t>
  </si>
  <si>
    <t>31.41592654 </t>
  </si>
  <si>
    <t>10 </t>
  </si>
  <si>
    <t>0.008253968254 </t>
  </si>
  <si>
    <t>20.8 </t>
  </si>
  <si>
    <t>252 </t>
  </si>
  <si>
    <t>62.83185307 </t>
  </si>
  <si>
    <t>20 </t>
  </si>
  <si>
    <t>0.009836065574 </t>
  </si>
  <si>
    <t>24.0 </t>
  </si>
  <si>
    <t>      244 </t>
  </si>
  <si>
    <t>125.6637061 </t>
  </si>
  <si>
    <t>40 </t>
  </si>
  <si>
    <t>0.01466666667 </t>
  </si>
  <si>
    <t>35.2 </t>
  </si>
  <si>
    <t>251.3274123 </t>
  </si>
  <si>
    <t>80 </t>
  </si>
  <si>
    <t>0.026 </t>
  </si>
  <si>
    <t>62.4 </t>
  </si>
  <si>
    <t>502.6548246 </t>
  </si>
  <si>
    <t>160 </t>
  </si>
  <si>
    <t>0.04666666667 </t>
  </si>
  <si>
    <t>112 </t>
  </si>
  <si>
    <t>1005.309649 </t>
  </si>
  <si>
    <t>320 </t>
  </si>
  <si>
    <t>0.09333333333 </t>
  </si>
  <si>
    <t>224 </t>
  </si>
  <si>
    <t>2010.619298 </t>
  </si>
  <si>
    <t>640 </t>
  </si>
  <si>
    <t>0.1770491803 </t>
  </si>
  <si>
    <t>432 </t>
  </si>
  <si>
    <t>244 </t>
  </si>
  <si>
    <t>4021.238597 </t>
  </si>
  <si>
    <t>1000 </t>
  </si>
  <si>
    <t>0.2591666667 </t>
  </si>
  <si>
    <t>622 </t>
  </si>
  <si>
    <t>6283.185307 </t>
  </si>
  <si>
    <t>2000 </t>
  </si>
  <si>
    <t>0.55 </t>
  </si>
  <si>
    <t>1320 </t>
  </si>
  <si>
    <t>12566.37061 </t>
  </si>
  <si>
    <t>4000 </t>
  </si>
  <si>
    <t>1.066666667 </t>
  </si>
  <si>
    <t>2560 </t>
  </si>
  <si>
    <t>25132.74123 </t>
  </si>
  <si>
    <t>8000 </t>
  </si>
  <si>
    <t>2.0625 </t>
  </si>
  <si>
    <t>5280 </t>
  </si>
  <si>
    <t>256 </t>
  </si>
  <si>
    <t>50265.48246 </t>
  </si>
  <si>
    <t>10000 </t>
  </si>
  <si>
    <t>2.545454545 </t>
  </si>
  <si>
    <t>     6720 </t>
  </si>
  <si>
    <t>     264 </t>
  </si>
  <si>
    <t>62831.85307 </t>
  </si>
  <si>
    <t>20000 </t>
  </si>
  <si>
    <t>4.609375 </t>
  </si>
  <si>
    <t>11800 </t>
  </si>
  <si>
    <t>125663.7061 </t>
  </si>
  <si>
    <t xml:space="preserve">Fitted Inductance: </t>
  </si>
  <si>
    <t>42.6 ±1.0 µH</t>
  </si>
  <si>
    <t xml:space="preserve">Fitted Resistance: </t>
  </si>
  <si>
    <t>8.1 ±0.3 mΩ</t>
  </si>
  <si>
    <t>BB2</t>
  </si>
  <si>
    <t>Coil Low Outer</t>
  </si>
  <si>
    <t>Temp Difference (°C)</t>
  </si>
  <si>
    <t>Water Flow</t>
  </si>
  <si>
    <t>0.73 gal/min to coil and bus bars</t>
  </si>
  <si>
    <t>Water Pressure</t>
  </si>
  <si>
    <t>38 PSI</t>
  </si>
  <si>
    <t>Cooling Type: Series to Coil then Bus Bars from Chiller.</t>
  </si>
  <si>
    <t>Chiller Temperature:</t>
  </si>
  <si>
    <t xml:space="preserve"> 15°C</t>
  </si>
  <si>
    <t>Current (A)</t>
  </si>
  <si>
    <t>Power (W)</t>
  </si>
  <si>
    <t>Voltage (V)</t>
  </si>
  <si>
    <t>Current: 9.95 A</t>
  </si>
  <si>
    <t>Voltage: 0.084 V</t>
  </si>
  <si>
    <t>Voltage(mV)</t>
  </si>
  <si>
    <t>dV</t>
  </si>
  <si>
    <t>R (mOhm)</t>
  </si>
  <si>
    <t>Handle</t>
  </si>
  <si>
    <t>Bottom</t>
  </si>
  <si>
    <t>End</t>
  </si>
  <si>
    <t>Resistance</t>
  </si>
  <si>
    <t>Layer Resistance</t>
  </si>
  <si>
    <t>BS</t>
  </si>
  <si>
    <t>Total Resistance (mOhms)</t>
  </si>
  <si>
    <t>Resistance (mOhms)</t>
  </si>
  <si>
    <t>Max</t>
  </si>
  <si>
    <t>Min</t>
  </si>
  <si>
    <t>3rd Quartile</t>
  </si>
  <si>
    <t>1st Quartile</t>
  </si>
  <si>
    <t>Top-Bottom Resistance</t>
  </si>
  <si>
    <t>Voltage: 0.089V</t>
  </si>
  <si>
    <t>Voltage Difference</t>
  </si>
  <si>
    <t>Total Voltage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</si>
  <si>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</si>
  <si>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</si>
  <si>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</si>
  <si>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</si>
  <si>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</si>
  <si>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</si>
  <si>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</si>
  <si>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</si>
  <si>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</si>
  <si>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</si>
  <si>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</si>
  <si>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</si>
  <si>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Plate</t>
  </si>
  <si>
    <t>Trial 1</t>
  </si>
  <si>
    <t>Trial 2</t>
  </si>
  <si>
    <t>BB1-Sc</t>
  </si>
  <si>
    <t>Sc-BP</t>
  </si>
  <si>
    <t>29-28</t>
  </si>
  <si>
    <t>31-End of BB2</t>
  </si>
  <si>
    <t>Voltage (mv)</t>
  </si>
  <si>
    <t>Layer_Resistance</t>
  </si>
  <si>
    <t>BB1 St</t>
  </si>
  <si>
    <t>B_Sc</t>
  </si>
  <si>
    <t>BB2 St</t>
  </si>
  <si>
    <t>BB2 End</t>
  </si>
  <si>
    <t>1 amp applied</t>
  </si>
  <si>
    <t>Total Resistance:</t>
  </si>
  <si>
    <t>7.053 mohms</t>
  </si>
  <si>
    <t>Beginning to end of BB1 (w Cu187 screw)</t>
  </si>
  <si>
    <t>0.016 mohms</t>
  </si>
  <si>
    <t>Beginning of BB1 to CU187 screw</t>
  </si>
  <si>
    <t>0.018 mohms</t>
  </si>
  <si>
    <t>Top of Cu-Cr screw to Cu-Cr plate bottom</t>
  </si>
  <si>
    <t>0.159 mohms</t>
  </si>
  <si>
    <t>Bottom to top of Cr-Cu plate</t>
  </si>
  <si>
    <t>0.005 mohms</t>
  </si>
  <si>
    <t>Opposite ends of Cr-Cu plate</t>
  </si>
  <si>
    <t>0.032 mohms</t>
  </si>
  <si>
    <t>Layers</t>
  </si>
  <si>
    <t>Layer Resistance (mOhms)</t>
  </si>
  <si>
    <t>Resistance from 4/23/24</t>
  </si>
  <si>
    <t>BB1-BP</t>
  </si>
  <si>
    <t>Cu-Cr(bottom)-1</t>
  </si>
  <si>
    <t>Total</t>
  </si>
  <si>
    <t>Mean</t>
  </si>
  <si>
    <t>Median:</t>
  </si>
  <si>
    <t>Mode</t>
  </si>
  <si>
    <t>Variance</t>
  </si>
  <si>
    <t>3 amps applied</t>
  </si>
  <si>
    <t>Volt Difference from Ground (mV)</t>
  </si>
  <si>
    <t>Resistance from Previous Layer (mOhms)</t>
  </si>
  <si>
    <t>Uncertainty (from measuring brass plate 5 times)</t>
  </si>
  <si>
    <t>Ground</t>
  </si>
  <si>
    <t>Brass Plate Measurements</t>
  </si>
  <si>
    <t>Bus Bar 1</t>
  </si>
  <si>
    <t>Brass Screw</t>
  </si>
  <si>
    <t>Maximum:</t>
  </si>
  <si>
    <t>Brass Plate</t>
  </si>
  <si>
    <t>Max % of mean</t>
  </si>
  <si>
    <t>Min % of Mean</t>
  </si>
  <si>
    <t>Total Coil Resistance</t>
  </si>
  <si>
    <t>Spikes</t>
  </si>
  <si>
    <t>Layer 17</t>
  </si>
  <si>
    <t>Layer 28</t>
  </si>
  <si>
    <t>Uncertainty</t>
  </si>
  <si>
    <t>Bus Bar 2</t>
  </si>
  <si>
    <t>Positive Terminal</t>
  </si>
  <si>
    <t>Current Applied</t>
  </si>
  <si>
    <t>3 amps</t>
  </si>
  <si>
    <t>Ground voltage:</t>
  </si>
  <si>
    <t>0.002 mV</t>
  </si>
  <si>
    <t>Positive Terminal:</t>
  </si>
  <si>
    <t>141.90 mV</t>
  </si>
  <si>
    <t>Input Bus Bar (mV):</t>
  </si>
  <si>
    <t>Voltage Difference of Coil;</t>
  </si>
  <si>
    <t>mV</t>
  </si>
  <si>
    <t>Output Bus Bar (mV)</t>
  </si>
  <si>
    <t>Resistance of Coil</t>
  </si>
  <si>
    <t>Ohms</t>
  </si>
  <si>
    <t>Coil Layer Measurements (mV)</t>
  </si>
  <si>
    <t>Predicted Heat with 400 Amps</t>
  </si>
  <si>
    <t>Watts</t>
  </si>
  <si>
    <t>Voltage diff (mV)</t>
  </si>
  <si>
    <t>Average Resistance</t>
  </si>
  <si>
    <t>Brass Screw (mV)</t>
  </si>
  <si>
    <t>Maximum Resistance:</t>
  </si>
  <si>
    <t>mV at 29-30 plates</t>
  </si>
  <si>
    <t>Brass Plate (mV)</t>
  </si>
  <si>
    <t>Deviation of max:</t>
  </si>
  <si>
    <t>%</t>
  </si>
  <si>
    <t>of Average</t>
  </si>
  <si>
    <t>Minimum Resistance:</t>
  </si>
  <si>
    <t>Deviation of Min</t>
  </si>
  <si>
    <t>at 7-8 plates</t>
  </si>
  <si>
    <t>Uncertainty: Measured from multiple brass plate measurements</t>
  </si>
  <si>
    <t>Coil</t>
  </si>
  <si>
    <t>Tube</t>
  </si>
  <si>
    <t>Bus Bar</t>
  </si>
  <si>
    <t>Wall Water and No Bus Bar Cooling</t>
  </si>
  <si>
    <t>(~45 PSI, 2.0 GPM)</t>
  </si>
  <si>
    <t>Temperature Change ©</t>
  </si>
  <si>
    <t>Water</t>
  </si>
  <si>
    <t>Temperature Differences</t>
  </si>
  <si>
    <t>Cu-Cr Plate</t>
  </si>
  <si>
    <t>Cu-Cr Screw</t>
  </si>
  <si>
    <t>Coil Body (lower half)</t>
  </si>
  <si>
    <t>BB1 (con to Cu-Cr screw)</t>
  </si>
  <si>
    <t>Cooling off</t>
  </si>
  <si>
    <t>Cooling on</t>
  </si>
  <si>
    <t>20..6</t>
  </si>
  <si>
    <t xml:space="preserve">Trial 2 </t>
  </si>
  <si>
    <t>Temp Ch</t>
  </si>
  <si>
    <t>Distance from Top (cm)</t>
  </si>
  <si>
    <t>Gauss</t>
  </si>
  <si>
    <t>Imperial</t>
  </si>
  <si>
    <t>Distance from bottom of coil</t>
  </si>
  <si>
    <t>100.01 A, 0.801 V applied to Coil 2</t>
  </si>
  <si>
    <t>Top of plastic piece</t>
  </si>
  <si>
    <t>Newest version of coil constructed, but measurement error due to a misaligned probe</t>
  </si>
  <si>
    <t>Peak field  22.3538 mm from Coil Bottom</t>
  </si>
  <si>
    <t>Approximate Coil Bottom location (Coil is 2.947 inches tall)</t>
  </si>
  <si>
    <t>Approximate Atom location (17 mm from coil bottom)</t>
  </si>
  <si>
    <t>Distance from Coil Bottom (in)</t>
  </si>
  <si>
    <t>B-Field (G)</t>
  </si>
  <si>
    <t>Distance from Coil Bottom (cm)</t>
  </si>
  <si>
    <t>Peak Field -3.048 cm from coil Bottom</t>
  </si>
  <si>
    <t>Coil Bottom Field</t>
  </si>
  <si>
    <t>Approximate field at atom location (17 mm)</t>
  </si>
  <si>
    <t>B-Field Error (G)</t>
  </si>
  <si>
    <t>Peak Field</t>
  </si>
  <si>
    <t>Approx</t>
  </si>
  <si>
    <t>Atom Loc</t>
  </si>
  <si>
    <t>Atom Field at 17 mm</t>
  </si>
  <si>
    <t>Coil Bottom</t>
  </si>
  <si>
    <t>Approximate Atom Location (17 mm)</t>
  </si>
  <si>
    <t xml:space="preserve">Estimated B-Field at Atoms: </t>
  </si>
  <si>
    <t>Distance from Bottom (cm)</t>
  </si>
  <si>
    <t>Field Strength (Gauss)</t>
  </si>
  <si>
    <t xml:space="preserve">Peak Field </t>
  </si>
  <si>
    <t>Average Field at Atoms (17 mm):</t>
  </si>
  <si>
    <t>x (cm from Coil Bottom)</t>
  </si>
  <si>
    <t>B-Field (Gauss)</t>
  </si>
  <si>
    <t>Ambient Field</t>
  </si>
  <si>
    <t>0.97 G</t>
  </si>
  <si>
    <t>100.01 A applied</t>
  </si>
  <si>
    <t>0.770 volts applied</t>
  </si>
  <si>
    <t>Average Field at Atoms (17 mm)</t>
  </si>
  <si>
    <t>Approximate Coil Bottom Location (1.7 cm from bottom)</t>
  </si>
  <si>
    <t>Approximate Location of Atoms (1.7 cm from coil bottom)</t>
  </si>
  <si>
    <t>Frequency </t>
  </si>
  <si>
    <t>Coil Voltage </t>
  </si>
  <si>
    <t>100 Ohm Resistor Voltage </t>
  </si>
  <si>
    <t>Impedence (mOhms) </t>
  </si>
  <si>
    <t>Angular Frequency </t>
  </si>
  <si>
    <t>4.08 </t>
  </si>
  <si>
    <t>43.2 </t>
  </si>
  <si>
    <t>9.444444444 </t>
  </si>
  <si>
    <t>5.66 </t>
  </si>
  <si>
    <t>56.2 </t>
  </si>
  <si>
    <t>10.07117438 </t>
  </si>
  <si>
    <t>6 </t>
  </si>
  <si>
    <t>66.4 </t>
  </si>
  <si>
    <t>9.036144578 </t>
  </si>
  <si>
    <t>7 </t>
  </si>
  <si>
    <t>72 </t>
  </si>
  <si>
    <t>9.722222222 </t>
  </si>
  <si>
    <t>7.4 </t>
  </si>
  <si>
    <t>82 </t>
  </si>
  <si>
    <t>9.024390244 </t>
  </si>
  <si>
    <t>12.6 </t>
  </si>
  <si>
    <t>84 </t>
  </si>
  <si>
    <t>15 </t>
  </si>
  <si>
    <t>100 </t>
  </si>
  <si>
    <t>14.8 </t>
  </si>
  <si>
    <t>78 </t>
  </si>
  <si>
    <t>18.97435897 </t>
  </si>
  <si>
    <t>628.3185307 </t>
  </si>
  <si>
    <t>200 </t>
  </si>
  <si>
    <t>30.2 </t>
  </si>
  <si>
    <t>74 </t>
  </si>
  <si>
    <t>1256.637061 </t>
  </si>
  <si>
    <t>400 </t>
  </si>
  <si>
    <t>72.8 </t>
  </si>
  <si>
    <t>68 </t>
  </si>
  <si>
    <t>40.81081081 </t>
  </si>
  <si>
    <t>2513.274123 </t>
  </si>
  <si>
    <t>800 </t>
  </si>
  <si>
    <t>152 </t>
  </si>
  <si>
    <t>64 </t>
  </si>
  <si>
    <t>107.0588235 </t>
  </si>
  <si>
    <t>5026.548246 </t>
  </si>
  <si>
    <t>188 </t>
  </si>
  <si>
    <t>237.5 </t>
  </si>
  <si>
    <t>356 </t>
  </si>
  <si>
    <t>56 </t>
  </si>
  <si>
    <t>293.75 </t>
  </si>
  <si>
    <t>440 </t>
  </si>
  <si>
    <t>52 </t>
  </si>
  <si>
    <t>635.7142857 </t>
  </si>
  <si>
    <t>846.1538462 </t>
  </si>
  <si>
    <t>Screw top</t>
  </si>
  <si>
    <t>Bus bar</t>
  </si>
  <si>
    <t>CuCr disc</t>
  </si>
  <si>
    <t>Lower outside</t>
  </si>
  <si>
    <t>Upper outside</t>
  </si>
  <si>
    <t>Middle inside</t>
  </si>
  <si>
    <t>Based on rebuilt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</si>
</sst>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0.000"/>
  </numFmts>
  <fonts count="14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rgb="FF1F1F1F"/>
      <name val="Google Sans"/>
    </font>
    <font>
      <sz val="9"/>
      <color rgb="FF1F1F1F"/>
      <name val="Google Sans"/>
    </font>
    <font>
      <sz val="9"/>
      <color rgb="FF1155CC"/>
      <name val="Google Sans Mono"/>
    </font>
    <font>
      <b/>
      <sz val="10"/>
      <color rgb="FF000000"/>
      <name val="Arial"/>
      <family val="2"/>
      <scheme val="minor"/>
    </font>
    <font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909090"/>
      </bottom>
      <diagonal/>
    </border>
    <border>
      <left style="thin">
        <color rgb="FF000000"/>
      </left>
      <right style="thin">
        <color rgb="FF000000"/>
      </right>
      <top style="medium">
        <color rgb="FF909090"/>
      </top>
      <bottom style="medium">
        <color rgb="FF909090"/>
      </bottom>
      <diagonal/>
    </border>
    <border>
      <left style="thin">
        <color rgb="FF000000"/>
      </left>
      <right style="thin">
        <color rgb="FF000000"/>
      </right>
      <top style="medium">
        <color rgb="FF90909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09090"/>
      </bottom>
      <diagonal/>
    </border>
    <border>
      <left style="medium">
        <color rgb="FF909090"/>
      </left>
      <right style="medium">
        <color rgb="FF909090"/>
      </right>
      <top style="medium">
        <color rgb="FFCCCCCC"/>
      </top>
      <bottom style="medium">
        <color rgb="FF909090"/>
      </bottom>
      <diagonal/>
    </border>
    <border>
      <left style="medium">
        <color rgb="FFCCCCCC"/>
      </left>
      <right style="medium">
        <color rgb="FF90909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09090"/>
      </right>
      <top style="medium">
        <color rgb="FFCCCCCC"/>
      </top>
      <bottom style="medium">
        <color rgb="FF909090"/>
      </bottom>
      <diagonal/>
    </border>
    <border>
      <left style="medium">
        <color rgb="FF909090"/>
      </left>
      <right style="medium">
        <color rgb="FF909090"/>
      </right>
      <top style="medium">
        <color rgb="FF909090"/>
      </top>
      <bottom style="medium">
        <color rgb="FF909090"/>
      </bottom>
      <diagonal/>
    </border>
    <border>
      <left style="medium">
        <color rgb="FF909090"/>
      </left>
      <right style="medium">
        <color rgb="FF909090"/>
      </right>
      <top style="medium">
        <color rgb="FF909090"/>
      </top>
      <bottom style="thin">
        <color rgb="FF000000"/>
      </bottom>
      <diagonal/>
    </border>
    <border>
      <left style="medium">
        <color rgb="FF909090"/>
      </left>
      <right style="medium">
        <color rgb="FF909090"/>
      </right>
      <top/>
      <bottom/>
      <diagonal/>
    </border>
    <border>
      <left style="thin">
        <color rgb="FF000000"/>
      </left>
      <right style="medium">
        <color rgb="FF909090"/>
      </right>
      <top style="thin">
        <color rgb="FF000000"/>
      </top>
      <bottom style="medium">
        <color rgb="FF909090"/>
      </bottom>
      <diagonal/>
    </border>
    <border>
      <left style="medium">
        <color rgb="FF909090"/>
      </left>
      <right style="medium">
        <color rgb="FF909090"/>
      </right>
      <top style="thin">
        <color rgb="FF000000"/>
      </top>
      <bottom style="medium">
        <color rgb="FF909090"/>
      </bottom>
      <diagonal/>
    </border>
    <border>
      <left style="medium">
        <color rgb="FF909090"/>
      </left>
      <right style="thin">
        <color rgb="FF000000"/>
      </right>
      <top style="thin">
        <color rgb="FF000000"/>
      </top>
      <bottom style="medium">
        <color rgb="FF909090"/>
      </bottom>
      <diagonal/>
    </border>
    <border>
      <left style="thin">
        <color rgb="FF000000"/>
      </left>
      <right style="medium">
        <color rgb="FF909090"/>
      </right>
      <top style="medium">
        <color rgb="FF909090"/>
      </top>
      <bottom style="medium">
        <color rgb="FF909090"/>
      </bottom>
      <diagonal/>
    </border>
    <border>
      <left style="medium">
        <color rgb="FF909090"/>
      </left>
      <right style="thin">
        <color rgb="FF000000"/>
      </right>
      <top style="medium">
        <color rgb="FF909090"/>
      </top>
      <bottom style="medium">
        <color rgb="FF909090"/>
      </bottom>
      <diagonal/>
    </border>
    <border>
      <left style="thin">
        <color rgb="FF000000"/>
      </left>
      <right style="medium">
        <color rgb="FF909090"/>
      </right>
      <top style="medium">
        <color rgb="FF909090"/>
      </top>
      <bottom style="thin">
        <color rgb="FF000000"/>
      </bottom>
      <diagonal/>
    </border>
    <border>
      <left style="medium">
        <color rgb="FF909090"/>
      </left>
      <right style="thin">
        <color rgb="FF000000"/>
      </right>
      <top style="medium">
        <color rgb="FF909090"/>
      </top>
      <bottom style="thin">
        <color rgb="FF000000"/>
      </bottom>
      <diagonal/>
    </border>
    <border>
      <left style="thin">
        <color rgb="FF000000"/>
      </left>
      <right style="medium">
        <color rgb="FF909090"/>
      </right>
      <top/>
      <bottom/>
      <diagonal/>
    </border>
    <border>
      <left style="medium">
        <color rgb="FF90909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909090"/>
      </right>
      <top/>
      <bottom style="thin">
        <color rgb="FF000000"/>
      </bottom>
      <diagonal/>
    </border>
    <border>
      <left style="medium">
        <color rgb="FF909090"/>
      </left>
      <right style="medium">
        <color rgb="FF909090"/>
      </right>
      <top/>
      <bottom style="thin">
        <color rgb="FF000000"/>
      </bottom>
      <diagonal/>
    </border>
    <border>
      <left style="medium">
        <color rgb="FF909090"/>
      </left>
      <right style="thin">
        <color rgb="FF000000"/>
      </right>
      <top/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0" fontId="5" fillId="0" borderId="0"/>
  </cellStyleXfs>
  <cellXfs count="69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16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5" fillId="0" borderId="6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5" fillId="0" borderId="9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11" fillId="0" borderId="1" xfId="0" applyFont="1" applyBorder="1" applyAlignment="1">
      <alignment horizontal="right" wrapText="1"/>
    </xf>
    <xf numFmtId="0" fontId="11" fillId="0" borderId="0" xfId="0" applyFont="1"/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 wrapText="1"/>
    </xf>
    <xf numFmtId="0" fontId="6" fillId="0" borderId="19" xfId="0" applyFont="1" applyBorder="1" applyAlignment="1">
      <alignment horizontal="right" vertical="center" wrapText="1"/>
    </xf>
    <xf numFmtId="0" fontId="6" fillId="0" borderId="20" xfId="0" applyFont="1" applyBorder="1" applyAlignment="1">
      <alignment horizontal="righ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6" fillId="0" borderId="24" xfId="0" applyFont="1" applyBorder="1" applyAlignment="1">
      <alignment horizontal="left" vertical="center" wrapText="1"/>
    </xf>
    <xf numFmtId="0" fontId="0" fillId="0" borderId="25" xfId="0" applyBorder="1" applyAlignment="1">
      <alignment vertical="top" wrapText="1"/>
    </xf>
    <xf numFmtId="0" fontId="5" fillId="0" borderId="0" xfId="1"/>
    <xf numFmtId="0" fontId="2" fillId="0" borderId="0" xfId="1" applyFont="1"/>
    <xf numFmtId="0" fontId="3" fillId="0" borderId="0" xfId="1" applyFont="1"/>
    <xf numFmtId="0" fontId="12" fillId="0" borderId="26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0" borderId="0" xfId="0" applyFont="1"/>
    <xf numFmtId="0" fontId="1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3" fillId="0" borderId="0" xfId="0" applyNumberFormat="1" applyFont="1"/>
    <xf numFmtId="0" fontId="1" fillId="0" borderId="0" xfId="0" applyFont="1" applyAlignment="1">
      <alignment vertical="center" wrapText="1" shrinkToFit="1" readingOrder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1" fillId="0" borderId="0" xfId="0" applyFont="1"/>
    <xf numFmtId="0" fontId="0" fillId="0" borderId="0" xfId="0"/>
  </cellXfs>
  <cellStyles count="2">
    <cellStyle name="Normal" xfId="0" builtinId="0"/>
    <cellStyle name="Normal 2" xfId="1" xr:uid="{031D75F4-9C1C-8543-93AF-877F4460D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C2 (Voltage: 0.089 V, Current: 9.95 A)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C2</c:v>
          </c:tx>
          <c:marker>
            <c:symbol val="none"/>
          </c:marker>
          <c:val>
            <c:numRef>
              <c:f>'Coil 2 Resistance 6_15_26'!$D$6:$D$37</c:f>
              <c:numCache>
                <c:formatCode>0.000</c:formatCode>
                <c:ptCount val="32"/>
                <c:pt idx="0">
                  <c:v>5.69849246231156E-2</c:v>
                </c:pt>
                <c:pt idx="1">
                  <c:v>0.22100502512562814</c:v>
                </c:pt>
                <c:pt idx="2">
                  <c:v>0.23437185929648241</c:v>
                </c:pt>
                <c:pt idx="3">
                  <c:v>0.22522613065326641</c:v>
                </c:pt>
                <c:pt idx="4">
                  <c:v>0.23266331658291453</c:v>
                </c:pt>
                <c:pt idx="5">
                  <c:v>0.22944723618090465</c:v>
                </c:pt>
                <c:pt idx="6">
                  <c:v>0.2300502512562814</c:v>
                </c:pt>
                <c:pt idx="7">
                  <c:v>0.23135678391959796</c:v>
                </c:pt>
                <c:pt idx="8">
                  <c:v>0.21859296482412069</c:v>
                </c:pt>
                <c:pt idx="9">
                  <c:v>0.22783919597989946</c:v>
                </c:pt>
                <c:pt idx="10">
                  <c:v>0.22804020100502498</c:v>
                </c:pt>
                <c:pt idx="11">
                  <c:v>0.22211055276381919</c:v>
                </c:pt>
                <c:pt idx="12">
                  <c:v>0.2419095477386935</c:v>
                </c:pt>
                <c:pt idx="13">
                  <c:v>0.23467336683417095</c:v>
                </c:pt>
                <c:pt idx="14">
                  <c:v>0.24110552763819071</c:v>
                </c:pt>
                <c:pt idx="15">
                  <c:v>0.226633165829146</c:v>
                </c:pt>
                <c:pt idx="16">
                  <c:v>0.22432160804020096</c:v>
                </c:pt>
                <c:pt idx="17">
                  <c:v>0.23939698492462291</c:v>
                </c:pt>
                <c:pt idx="18">
                  <c:v>0.22592964824120651</c:v>
                </c:pt>
                <c:pt idx="19">
                  <c:v>0.22221105527638177</c:v>
                </c:pt>
                <c:pt idx="20">
                  <c:v>0.23668341708542684</c:v>
                </c:pt>
                <c:pt idx="21">
                  <c:v>0.23065326633165847</c:v>
                </c:pt>
                <c:pt idx="22">
                  <c:v>0.2318592964824123</c:v>
                </c:pt>
                <c:pt idx="23">
                  <c:v>0.22442211055276354</c:v>
                </c:pt>
                <c:pt idx="24">
                  <c:v>0.22854271356783931</c:v>
                </c:pt>
                <c:pt idx="25">
                  <c:v>0.22562814070351736</c:v>
                </c:pt>
                <c:pt idx="26">
                  <c:v>0.22492462311557856</c:v>
                </c:pt>
                <c:pt idx="27">
                  <c:v>0.22462311557788942</c:v>
                </c:pt>
                <c:pt idx="28">
                  <c:v>0.25547738693467281</c:v>
                </c:pt>
                <c:pt idx="29">
                  <c:v>0.21919597989949724</c:v>
                </c:pt>
                <c:pt idx="30">
                  <c:v>0.22231155778894507</c:v>
                </c:pt>
                <c:pt idx="31">
                  <c:v>0.23256281407035251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2-4730-9275-95E165115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594765"/>
        <c:axId val="1810288304"/>
      </c:lineChart>
      <c:catAx>
        <c:axId val="510594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1810288304"/>
        <c:crosses val="autoZero"/>
        <c:auto val="1"/>
        <c:lblAlgn val="ctr"/>
        <c:lblOffset val="100"/>
        <c:noMultiLvlLbl val="1"/>
      </c:catAx>
      <c:valAx>
        <c:axId val="1810288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 (mOhm)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5105947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C1(Voltage: 0.084 V, Current: 9.95 A)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C1</c:v>
          </c:tx>
          <c:marker>
            <c:symbol val="none"/>
          </c:marker>
          <c:val>
            <c:numRef>
              <c:f>'Coil 1 Resistance 6_15_26'!$D$6:$D$37</c:f>
              <c:numCache>
                <c:formatCode>0.000</c:formatCode>
                <c:ptCount val="32"/>
                <c:pt idx="0">
                  <c:v>6.8643216080401998E-2</c:v>
                </c:pt>
                <c:pt idx="1">
                  <c:v>0.2332663316582915</c:v>
                </c:pt>
                <c:pt idx="2">
                  <c:v>0.23135678391959796</c:v>
                </c:pt>
                <c:pt idx="3">
                  <c:v>0.22623115577889444</c:v>
                </c:pt>
                <c:pt idx="4">
                  <c:v>0.23035175879397002</c:v>
                </c:pt>
                <c:pt idx="5">
                  <c:v>0.22663316582914564</c:v>
                </c:pt>
                <c:pt idx="6">
                  <c:v>0.2314572864321609</c:v>
                </c:pt>
                <c:pt idx="7">
                  <c:v>0.23537688442211044</c:v>
                </c:pt>
                <c:pt idx="8">
                  <c:v>0.2926633165829145</c:v>
                </c:pt>
                <c:pt idx="9">
                  <c:v>0.22582914572864357</c:v>
                </c:pt>
                <c:pt idx="10">
                  <c:v>0.23386934673366819</c:v>
                </c:pt>
                <c:pt idx="11">
                  <c:v>0.23175879396984936</c:v>
                </c:pt>
                <c:pt idx="12">
                  <c:v>0.23125628140703502</c:v>
                </c:pt>
                <c:pt idx="13">
                  <c:v>0.22834170854271343</c:v>
                </c:pt>
                <c:pt idx="14">
                  <c:v>0.22844221105527673</c:v>
                </c:pt>
                <c:pt idx="15">
                  <c:v>0.23135678391959796</c:v>
                </c:pt>
                <c:pt idx="16">
                  <c:v>0.23728643216080375</c:v>
                </c:pt>
                <c:pt idx="17">
                  <c:v>0.23939698492462363</c:v>
                </c:pt>
                <c:pt idx="18">
                  <c:v>0.2401005025125624</c:v>
                </c:pt>
                <c:pt idx="19">
                  <c:v>0.23175879396984972</c:v>
                </c:pt>
                <c:pt idx="20">
                  <c:v>0.23005025125628087</c:v>
                </c:pt>
                <c:pt idx="21">
                  <c:v>0.233668341708543</c:v>
                </c:pt>
                <c:pt idx="22">
                  <c:v>0.21969849246231157</c:v>
                </c:pt>
                <c:pt idx="23">
                  <c:v>0.22331658291457301</c:v>
                </c:pt>
                <c:pt idx="24">
                  <c:v>0.24462311557788921</c:v>
                </c:pt>
                <c:pt idx="25">
                  <c:v>0.23849246231155757</c:v>
                </c:pt>
                <c:pt idx="26">
                  <c:v>0.21829145728643259</c:v>
                </c:pt>
                <c:pt idx="27">
                  <c:v>0.22321608040200971</c:v>
                </c:pt>
                <c:pt idx="28">
                  <c:v>0.24733668341708528</c:v>
                </c:pt>
                <c:pt idx="29">
                  <c:v>0.22020100502512591</c:v>
                </c:pt>
                <c:pt idx="30">
                  <c:v>0.23628140703517581</c:v>
                </c:pt>
                <c:pt idx="31">
                  <c:v>0.22824120603015086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2-4C2F-A365-8BA231FFC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80288"/>
        <c:axId val="1636760315"/>
      </c:lineChart>
      <c:catAx>
        <c:axId val="5138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1636760315"/>
        <c:crosses val="autoZero"/>
        <c:auto val="1"/>
        <c:lblAlgn val="ctr"/>
        <c:lblOffset val="100"/>
        <c:noMultiLvlLbl val="1"/>
      </c:catAx>
      <c:valAx>
        <c:axId val="1636760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 (mOhm)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513802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Resistance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'Resistance 2_19_26'!$H$3:$H$34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'Resistance 2_19_26'!$I$3:$I$34</c:f>
              <c:numCache>
                <c:formatCode>General</c:formatCode>
                <c:ptCount val="32"/>
                <c:pt idx="0">
                  <c:v>0.14366666666666669</c:v>
                </c:pt>
                <c:pt idx="1">
                  <c:v>7.0333333333333317E-2</c:v>
                </c:pt>
                <c:pt idx="2">
                  <c:v>0.24133333333333332</c:v>
                </c:pt>
                <c:pt idx="3">
                  <c:v>0.25700000000000006</c:v>
                </c:pt>
                <c:pt idx="4">
                  <c:v>0.21433333333333326</c:v>
                </c:pt>
                <c:pt idx="5">
                  <c:v>0.22833333333333336</c:v>
                </c:pt>
                <c:pt idx="6">
                  <c:v>0.24899999999999997</c:v>
                </c:pt>
                <c:pt idx="7">
                  <c:v>0.24033333333333337</c:v>
                </c:pt>
                <c:pt idx="8">
                  <c:v>0.22933333333333325</c:v>
                </c:pt>
                <c:pt idx="9">
                  <c:v>0.23766666666666669</c:v>
                </c:pt>
                <c:pt idx="10">
                  <c:v>0.24233333333333343</c:v>
                </c:pt>
                <c:pt idx="11">
                  <c:v>0.26833333333333353</c:v>
                </c:pt>
                <c:pt idx="12">
                  <c:v>0.2673333333333332</c:v>
                </c:pt>
                <c:pt idx="13">
                  <c:v>0.34833333333333333</c:v>
                </c:pt>
                <c:pt idx="14">
                  <c:v>0.25400000000000017</c:v>
                </c:pt>
                <c:pt idx="15">
                  <c:v>0.25100000000000006</c:v>
                </c:pt>
                <c:pt idx="16">
                  <c:v>0.23566666666666633</c:v>
                </c:pt>
                <c:pt idx="17">
                  <c:v>0.25600000000000023</c:v>
                </c:pt>
                <c:pt idx="18">
                  <c:v>0.21666666666666679</c:v>
                </c:pt>
                <c:pt idx="19">
                  <c:v>0.27266666666666656</c:v>
                </c:pt>
                <c:pt idx="20">
                  <c:v>0.24833333333333307</c:v>
                </c:pt>
                <c:pt idx="21">
                  <c:v>0.26399999999999996</c:v>
                </c:pt>
                <c:pt idx="22">
                  <c:v>0.28266666666666634</c:v>
                </c:pt>
                <c:pt idx="23">
                  <c:v>0.28133333333333371</c:v>
                </c:pt>
                <c:pt idx="24">
                  <c:v>0.26366666666666677</c:v>
                </c:pt>
                <c:pt idx="25">
                  <c:v>0.3206666666666666</c:v>
                </c:pt>
                <c:pt idx="26">
                  <c:v>0.41433333333333283</c:v>
                </c:pt>
                <c:pt idx="27">
                  <c:v>0.22133333333333383</c:v>
                </c:pt>
                <c:pt idx="28">
                  <c:v>0.22700000000000031</c:v>
                </c:pt>
                <c:pt idx="29">
                  <c:v>0.26433333333333309</c:v>
                </c:pt>
                <c:pt idx="30">
                  <c:v>0.2573333333333328</c:v>
                </c:pt>
                <c:pt idx="31">
                  <c:v>0.28033333333333371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A-5C49-9689-D54BAA6EAFE9}"/>
            </c:ext>
          </c:extLst>
        </c:ser>
        <c:ser>
          <c:idx val="1"/>
          <c:order val="1"/>
          <c:tx>
            <c:v>C2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'Resistance 2_19_26'!$H$3:$H$34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'Resistance 2_19_26'!$J$3:$J$34</c:f>
              <c:numCache>
                <c:formatCode>General</c:formatCode>
                <c:ptCount val="32"/>
                <c:pt idx="0">
                  <c:v>0.14199999999999999</c:v>
                </c:pt>
                <c:pt idx="1">
                  <c:v>0.12133333333333333</c:v>
                </c:pt>
                <c:pt idx="2">
                  <c:v>0.33233333333333331</c:v>
                </c:pt>
                <c:pt idx="3">
                  <c:v>0.27866666666666667</c:v>
                </c:pt>
                <c:pt idx="4">
                  <c:v>0.27</c:v>
                </c:pt>
                <c:pt idx="5">
                  <c:v>0.26666666666666677</c:v>
                </c:pt>
                <c:pt idx="6">
                  <c:v>0.45300000000000001</c:v>
                </c:pt>
                <c:pt idx="7">
                  <c:v>0.25800000000000001</c:v>
                </c:pt>
                <c:pt idx="8">
                  <c:v>0.26266666666666644</c:v>
                </c:pt>
                <c:pt idx="9">
                  <c:v>0.27766666666666673</c:v>
                </c:pt>
                <c:pt idx="10">
                  <c:v>0.27466666666666661</c:v>
                </c:pt>
                <c:pt idx="11">
                  <c:v>0.2740000000000003</c:v>
                </c:pt>
                <c:pt idx="12">
                  <c:v>0.34266666666666623</c:v>
                </c:pt>
                <c:pt idx="13">
                  <c:v>0.27999999999999997</c:v>
                </c:pt>
                <c:pt idx="14">
                  <c:v>0.3143333333333338</c:v>
                </c:pt>
                <c:pt idx="15">
                  <c:v>0.27033333333333331</c:v>
                </c:pt>
                <c:pt idx="16">
                  <c:v>0.26333333333333303</c:v>
                </c:pt>
                <c:pt idx="17">
                  <c:v>0.30233333333333334</c:v>
                </c:pt>
                <c:pt idx="18">
                  <c:v>0.25733333333333341</c:v>
                </c:pt>
                <c:pt idx="19">
                  <c:v>0.29699999999999943</c:v>
                </c:pt>
                <c:pt idx="20">
                  <c:v>0.33800000000000097</c:v>
                </c:pt>
                <c:pt idx="21">
                  <c:v>0.66133333333333277</c:v>
                </c:pt>
                <c:pt idx="22">
                  <c:v>0.28133333333333371</c:v>
                </c:pt>
                <c:pt idx="23">
                  <c:v>0.27066666666666706</c:v>
                </c:pt>
                <c:pt idx="24">
                  <c:v>0.33966666666666612</c:v>
                </c:pt>
                <c:pt idx="25">
                  <c:v>0.47000000000000003</c:v>
                </c:pt>
                <c:pt idx="26">
                  <c:v>0.28566666666666646</c:v>
                </c:pt>
                <c:pt idx="27">
                  <c:v>0.438</c:v>
                </c:pt>
                <c:pt idx="28">
                  <c:v>0.26600000000000062</c:v>
                </c:pt>
                <c:pt idx="29">
                  <c:v>0.24099999999999966</c:v>
                </c:pt>
                <c:pt idx="30">
                  <c:v>0.24199999999999969</c:v>
                </c:pt>
                <c:pt idx="31">
                  <c:v>0.2586666666666666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A-5C49-9689-D54BAA6E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702508"/>
        <c:axId val="968009252"/>
      </c:lineChart>
      <c:catAx>
        <c:axId val="95170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8009252"/>
        <c:crosses val="autoZero"/>
        <c:auto val="1"/>
        <c:lblAlgn val="ctr"/>
        <c:lblOffset val="100"/>
        <c:noMultiLvlLbl val="1"/>
      </c:catAx>
      <c:valAx>
        <c:axId val="968009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17025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4</xdr:row>
      <xdr:rowOff>0</xdr:rowOff>
    </xdr:from>
    <xdr:to>
      <xdr:col>12</xdr:col>
      <xdr:colOff>533400</xdr:colOff>
      <xdr:row>25</xdr:row>
      <xdr:rowOff>133350</xdr:rowOff>
    </xdr:to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DBBB1533-663F-4542-8819-C1E306053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5</xdr:row>
      <xdr:rowOff>63500</xdr:rowOff>
    </xdr:from>
    <xdr:to>
      <xdr:col>15</xdr:col>
      <xdr:colOff>438150</xdr:colOff>
      <xdr:row>29</xdr:row>
      <xdr:rowOff>63500</xdr:rowOff>
    </xdr:to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8C2C769-1415-4DE4-99AE-B2FE5A568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123825</xdr:colOff>
      <xdr:row>11</xdr:row>
      <xdr:rowOff>171450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8CB6F489-BBAA-3D42-9796-AF4C0317E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0</xdr:row>
      <xdr:rowOff>0</xdr:rowOff>
    </xdr:from>
    <xdr:ext cx="5619750" cy="371475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17</xdr:row>
      <xdr:rowOff>38100</xdr:rowOff>
    </xdr:from>
    <xdr:ext cx="5619750" cy="37147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19</xdr:row>
      <xdr:rowOff>5715</xdr:rowOff>
    </xdr:from>
    <xdr:ext cx="5619750" cy="37147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2815" y="3769995"/>
          <a:ext cx="5619750" cy="37147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68580</xdr:colOff>
      <xdr:row>0</xdr:row>
      <xdr:rowOff>0</xdr:rowOff>
    </xdr:from>
    <xdr:to>
      <xdr:col>10</xdr:col>
      <xdr:colOff>476250</xdr:colOff>
      <xdr:row>18</xdr:row>
      <xdr:rowOff>148590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861E5B-2973-75A0-32BA-73B980C4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0"/>
          <a:ext cx="5619750" cy="3714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236220</xdr:colOff>
      <xdr:row>0</xdr:row>
      <xdr:rowOff>175260</xdr:rowOff>
    </xdr:from>
    <xdr:ext cx="5657850" cy="37147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8300" y="175260"/>
          <a:ext cx="5657850" cy="3714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19</xdr:row>
      <xdr:rowOff>114300</xdr:rowOff>
    </xdr:from>
    <xdr:ext cx="5619750" cy="37147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97830" y="3878580"/>
          <a:ext cx="5619750" cy="3714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17</xdr:row>
      <xdr:rowOff>104775</xdr:rowOff>
    </xdr:from>
    <xdr:ext cx="5619750" cy="37147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0</xdr:row>
      <xdr:rowOff>0</xdr:rowOff>
    </xdr:from>
    <xdr:ext cx="5657850" cy="37147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11</xdr:col>
      <xdr:colOff>398145</xdr:colOff>
      <xdr:row>32</xdr:row>
      <xdr:rowOff>148590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ABEBE-206C-EE34-BD21-DB5880D35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2773680"/>
          <a:ext cx="5610225" cy="3714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0</xdr:row>
      <xdr:rowOff>0</xdr:rowOff>
    </xdr:from>
    <xdr:to>
      <xdr:col>21</xdr:col>
      <xdr:colOff>285750</xdr:colOff>
      <xdr:row>11</xdr:row>
      <xdr:rowOff>110490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46C80A-F83C-804F-58D9-A7F63575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0"/>
          <a:ext cx="5619750" cy="3714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0</xdr:rowOff>
    </xdr:from>
    <xdr:to>
      <xdr:col>17</xdr:col>
      <xdr:colOff>19050</xdr:colOff>
      <xdr:row>12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846FF-20E0-C85B-7061-1F78DD99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0"/>
          <a:ext cx="6572250" cy="465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FF3E-4BA4-AE4B-9BD3-AF7C044D9618}">
  <dimension ref="A1:I10"/>
  <sheetViews>
    <sheetView tabSelected="1" workbookViewId="0">
      <selection activeCell="B1" sqref="B1:B1048576"/>
    </sheetView>
  </sheetViews>
  <sheetFormatPr baseColWidth="10" defaultRowHeight="13"/>
  <sheetData>
    <row r="1" spans="1:9" ht="41" thickBot="1">
      <c r="A1" s="54"/>
      <c r="B1" s="54" t="s">
        <v>0</v>
      </c>
      <c r="C1" s="54" t="s">
        <v>1</v>
      </c>
      <c r="D1" s="54" t="s">
        <v>435</v>
      </c>
      <c r="E1" s="54" t="s">
        <v>436</v>
      </c>
      <c r="F1" s="54" t="s">
        <v>437</v>
      </c>
      <c r="G1" s="54" t="s">
        <v>438</v>
      </c>
      <c r="H1" s="54" t="s">
        <v>439</v>
      </c>
      <c r="I1" s="54" t="s">
        <v>440</v>
      </c>
    </row>
    <row r="2" spans="1:9" ht="21" thickBot="1">
      <c r="A2" s="54" t="s">
        <v>8</v>
      </c>
      <c r="B2" s="54">
        <v>21.7</v>
      </c>
      <c r="C2" s="54">
        <v>21.8</v>
      </c>
      <c r="D2" s="54">
        <v>21.6</v>
      </c>
      <c r="E2" s="54">
        <v>21.5</v>
      </c>
      <c r="F2" s="54">
        <v>21.6</v>
      </c>
      <c r="G2" s="54">
        <v>21.6</v>
      </c>
      <c r="H2" s="54">
        <v>21.6</v>
      </c>
      <c r="I2" s="54">
        <v>21.7</v>
      </c>
    </row>
    <row r="3" spans="1:9" ht="21" thickBot="1">
      <c r="A3" s="54" t="s">
        <v>9</v>
      </c>
      <c r="B3" s="54">
        <v>21.5</v>
      </c>
      <c r="C3" s="54">
        <v>22.1</v>
      </c>
      <c r="D3" s="54">
        <v>22.1</v>
      </c>
      <c r="E3" s="54">
        <v>22</v>
      </c>
      <c r="F3" s="54">
        <v>22.4</v>
      </c>
      <c r="G3" s="54">
        <v>22.7</v>
      </c>
      <c r="H3" s="54">
        <v>22.3</v>
      </c>
      <c r="I3" s="54">
        <v>22.6</v>
      </c>
    </row>
    <row r="4" spans="1:9" ht="21" thickBot="1">
      <c r="A4" s="54" t="s">
        <v>10</v>
      </c>
      <c r="B4" s="54">
        <v>21.6</v>
      </c>
      <c r="C4" s="54">
        <v>22.5</v>
      </c>
      <c r="D4" s="54">
        <v>22.6</v>
      </c>
      <c r="E4" s="54">
        <v>22.3</v>
      </c>
      <c r="F4" s="54">
        <v>23</v>
      </c>
      <c r="G4" s="54">
        <v>23.4</v>
      </c>
      <c r="H4" s="54">
        <v>23.1</v>
      </c>
      <c r="I4" s="54">
        <v>23.4</v>
      </c>
    </row>
    <row r="5" spans="1:9" ht="21" thickBot="1">
      <c r="A5" s="54" t="s">
        <v>11</v>
      </c>
      <c r="B5" s="54">
        <v>22.6</v>
      </c>
      <c r="C5" s="54">
        <v>23.7</v>
      </c>
      <c r="D5" s="54">
        <v>23.6</v>
      </c>
      <c r="E5" s="54">
        <v>23.2</v>
      </c>
      <c r="F5" s="54">
        <v>24.3</v>
      </c>
      <c r="G5" s="54">
        <v>25</v>
      </c>
      <c r="H5" s="54">
        <v>24.5</v>
      </c>
      <c r="I5" s="54">
        <v>25.2</v>
      </c>
    </row>
    <row r="6" spans="1:9" ht="21" thickBot="1">
      <c r="A6" s="54" t="s">
        <v>12</v>
      </c>
      <c r="B6" s="54">
        <v>22.2</v>
      </c>
      <c r="C6" s="54">
        <v>24</v>
      </c>
      <c r="D6" s="54">
        <v>24.2</v>
      </c>
      <c r="E6" s="54">
        <v>22.7</v>
      </c>
      <c r="F6" s="54">
        <v>25</v>
      </c>
      <c r="G6" s="54">
        <v>25.8</v>
      </c>
      <c r="H6" s="54">
        <v>24.9</v>
      </c>
      <c r="I6" s="54">
        <v>25.7</v>
      </c>
    </row>
    <row r="7" spans="1:9" ht="21" thickBot="1">
      <c r="A7" s="54" t="s">
        <v>13</v>
      </c>
      <c r="B7" s="54">
        <v>22.3</v>
      </c>
      <c r="C7" s="54">
        <v>24.7</v>
      </c>
      <c r="D7" s="54">
        <v>24.7</v>
      </c>
      <c r="E7" s="54">
        <v>22.9</v>
      </c>
      <c r="F7" s="54">
        <v>25.9</v>
      </c>
      <c r="G7" s="54">
        <v>27.3</v>
      </c>
      <c r="H7" s="54">
        <v>26</v>
      </c>
      <c r="I7" s="54">
        <v>27.2</v>
      </c>
    </row>
    <row r="8" spans="1:9" ht="21" thickBot="1">
      <c r="A8" s="54" t="s">
        <v>14</v>
      </c>
      <c r="B8" s="54">
        <v>22.5</v>
      </c>
      <c r="C8" s="54">
        <v>25.5</v>
      </c>
      <c r="D8" s="54">
        <v>24.9</v>
      </c>
      <c r="E8" s="54">
        <v>23.2</v>
      </c>
      <c r="F8" s="54">
        <v>27</v>
      </c>
      <c r="G8" s="54">
        <v>28.8</v>
      </c>
      <c r="H8" s="54">
        <v>27.3</v>
      </c>
      <c r="I8" s="54">
        <v>28.9</v>
      </c>
    </row>
    <row r="10" spans="1:9" ht="40">
      <c r="A10" s="56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6976-2066-9C41-A122-5143CDF98DDD}">
  <dimension ref="A1:I10"/>
  <sheetViews>
    <sheetView workbookViewId="0">
      <selection activeCell="A10" sqref="A10"/>
    </sheetView>
  </sheetViews>
  <sheetFormatPr baseColWidth="10" defaultColWidth="11.5" defaultRowHeight="13"/>
  <cols>
    <col min="2" max="2" width="10.83203125" customWidth="1"/>
  </cols>
  <sheetData>
    <row r="1" spans="1:9" ht="41" thickBot="1">
      <c r="A1" s="54"/>
      <c r="B1" s="54" t="s">
        <v>0</v>
      </c>
      <c r="C1" s="54" t="s">
        <v>1</v>
      </c>
      <c r="D1" s="54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4" t="s">
        <v>7</v>
      </c>
    </row>
    <row r="2" spans="1:9" ht="21" thickBot="1">
      <c r="A2" s="54" t="s">
        <v>8</v>
      </c>
      <c r="B2" s="54">
        <v>20.8</v>
      </c>
      <c r="C2" s="54">
        <v>20.9</v>
      </c>
      <c r="D2" s="54">
        <v>20.5</v>
      </c>
      <c r="E2" s="54">
        <v>20.7</v>
      </c>
      <c r="F2" s="54">
        <v>20.8</v>
      </c>
      <c r="G2" s="54">
        <v>20.7</v>
      </c>
      <c r="H2" s="54">
        <v>20.9</v>
      </c>
      <c r="I2" s="54">
        <v>20.8</v>
      </c>
    </row>
    <row r="3" spans="1:9" ht="21" thickBot="1">
      <c r="A3" s="54" t="s">
        <v>9</v>
      </c>
      <c r="B3" s="54">
        <v>20.9</v>
      </c>
      <c r="C3" s="54">
        <v>21.2</v>
      </c>
      <c r="D3" s="54">
        <v>21.1</v>
      </c>
      <c r="E3" s="54">
        <v>21.3</v>
      </c>
      <c r="F3" s="54">
        <v>21.6</v>
      </c>
      <c r="G3" s="54">
        <v>21.3</v>
      </c>
      <c r="H3" s="54">
        <v>21.3</v>
      </c>
      <c r="I3" s="54">
        <v>21.5</v>
      </c>
    </row>
    <row r="4" spans="1:9" ht="21" thickBot="1">
      <c r="A4" s="54" t="s">
        <v>10</v>
      </c>
      <c r="B4" s="54">
        <v>21.9</v>
      </c>
      <c r="C4" s="54">
        <v>22.4</v>
      </c>
      <c r="D4" s="54">
        <v>22.7</v>
      </c>
      <c r="E4" s="54">
        <v>23</v>
      </c>
      <c r="F4" s="54">
        <v>23.6</v>
      </c>
      <c r="G4" s="54">
        <v>22.8</v>
      </c>
      <c r="H4" s="54">
        <v>22.7</v>
      </c>
      <c r="I4" s="54">
        <v>23.2</v>
      </c>
    </row>
    <row r="5" spans="1:9" ht="21" thickBot="1">
      <c r="A5" s="54" t="s">
        <v>11</v>
      </c>
      <c r="B5" s="54">
        <v>22.6</v>
      </c>
      <c r="C5" s="54">
        <v>23.5</v>
      </c>
      <c r="D5" s="54">
        <v>24</v>
      </c>
      <c r="E5" s="54">
        <v>24.5</v>
      </c>
      <c r="F5" s="54">
        <v>25.6</v>
      </c>
      <c r="G5" s="54">
        <v>24.2</v>
      </c>
      <c r="H5" s="54">
        <v>24.1</v>
      </c>
      <c r="I5" s="54">
        <v>25</v>
      </c>
    </row>
    <row r="6" spans="1:9" ht="21" thickBot="1">
      <c r="A6" s="54" t="s">
        <v>12</v>
      </c>
      <c r="B6" s="54">
        <v>22.3</v>
      </c>
      <c r="C6" s="54">
        <v>23.8</v>
      </c>
      <c r="D6" s="54">
        <v>25</v>
      </c>
      <c r="E6" s="54">
        <v>25.3</v>
      </c>
      <c r="F6" s="54">
        <v>26.9</v>
      </c>
      <c r="G6" s="54">
        <v>25.1</v>
      </c>
      <c r="H6" s="54">
        <v>24.9</v>
      </c>
      <c r="I6" s="54">
        <v>26.2</v>
      </c>
    </row>
    <row r="7" spans="1:9" ht="21" thickBot="1">
      <c r="A7" s="54" t="s">
        <v>13</v>
      </c>
      <c r="B7" s="54">
        <v>22.4</v>
      </c>
      <c r="C7" s="54">
        <v>24.5</v>
      </c>
      <c r="D7" s="54">
        <v>26</v>
      </c>
      <c r="E7" s="54">
        <v>26.7</v>
      </c>
      <c r="F7" s="54">
        <v>28.9</v>
      </c>
      <c r="G7" s="54">
        <v>26.2</v>
      </c>
      <c r="H7" s="54">
        <v>26</v>
      </c>
      <c r="I7" s="54">
        <v>27.8</v>
      </c>
    </row>
    <row r="8" spans="1:9" ht="21" thickBot="1">
      <c r="A8" s="54" t="s">
        <v>14</v>
      </c>
      <c r="B8" s="54">
        <v>22.6</v>
      </c>
      <c r="C8" s="54">
        <v>25.5</v>
      </c>
      <c r="D8" s="54">
        <v>27.3</v>
      </c>
      <c r="E8" s="54">
        <v>28.4</v>
      </c>
      <c r="F8" s="54">
        <v>31.4</v>
      </c>
      <c r="G8" s="54">
        <v>27.9</v>
      </c>
      <c r="H8" s="54">
        <v>27.5</v>
      </c>
      <c r="I8" s="54">
        <v>29.9</v>
      </c>
    </row>
    <row r="10" spans="1:9" ht="40">
      <c r="A10" s="5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0395-CF84-A348-857C-58F0E4D38689}">
  <dimension ref="A1:I7"/>
  <sheetViews>
    <sheetView workbookViewId="0">
      <selection activeCell="I22" sqref="I22:I24"/>
    </sheetView>
  </sheetViews>
  <sheetFormatPr baseColWidth="10" defaultColWidth="11.5" defaultRowHeight="13"/>
  <sheetData>
    <row r="1" spans="1:9" ht="41" thickBot="1">
      <c r="A1" s="54"/>
      <c r="B1" s="54" t="s">
        <v>0</v>
      </c>
      <c r="C1" s="54" t="s">
        <v>1</v>
      </c>
      <c r="D1" s="54" t="s">
        <v>16</v>
      </c>
      <c r="E1" s="54" t="s">
        <v>17</v>
      </c>
      <c r="F1" s="54" t="s">
        <v>18</v>
      </c>
      <c r="G1" s="54" t="s">
        <v>19</v>
      </c>
      <c r="H1" s="54" t="s">
        <v>20</v>
      </c>
      <c r="I1" s="54" t="s">
        <v>21</v>
      </c>
    </row>
    <row r="2" spans="1:9" ht="21" thickBot="1">
      <c r="A2" s="54" t="s">
        <v>8</v>
      </c>
      <c r="B2" s="54">
        <v>21.5</v>
      </c>
      <c r="C2" s="54">
        <v>21.6</v>
      </c>
      <c r="D2" s="54">
        <v>21.6</v>
      </c>
      <c r="E2" s="54">
        <v>21.7</v>
      </c>
      <c r="F2" s="54">
        <v>21.7</v>
      </c>
      <c r="G2" s="54">
        <v>21.7</v>
      </c>
      <c r="H2" s="54">
        <v>21.6</v>
      </c>
      <c r="I2" s="54">
        <v>21.7</v>
      </c>
    </row>
    <row r="3" spans="1:9" ht="21" thickBot="1">
      <c r="A3" s="54" t="s">
        <v>9</v>
      </c>
      <c r="B3" s="54">
        <v>22.3</v>
      </c>
      <c r="C3" s="54">
        <v>22.7</v>
      </c>
      <c r="D3" s="54">
        <v>22.9</v>
      </c>
      <c r="E3" s="54">
        <v>23</v>
      </c>
      <c r="F3" s="54">
        <v>23</v>
      </c>
      <c r="G3" s="54">
        <v>30.9</v>
      </c>
      <c r="H3" s="54">
        <v>32.200000000000003</v>
      </c>
      <c r="I3" s="54">
        <v>31.32</v>
      </c>
    </row>
    <row r="4" spans="1:9" ht="21" thickBot="1">
      <c r="A4" s="54" t="s">
        <v>10</v>
      </c>
      <c r="B4" s="54">
        <v>22.2</v>
      </c>
      <c r="C4" s="54">
        <v>22.6</v>
      </c>
      <c r="D4" s="54">
        <v>23.3</v>
      </c>
      <c r="E4" s="54">
        <v>22.8</v>
      </c>
      <c r="F4" s="54">
        <v>23.1</v>
      </c>
      <c r="G4" s="54">
        <v>47.8</v>
      </c>
      <c r="H4" s="54">
        <v>52.1</v>
      </c>
      <c r="I4" s="54">
        <v>47.1</v>
      </c>
    </row>
    <row r="5" spans="1:9" ht="21" thickBot="1">
      <c r="A5" s="54" t="s">
        <v>11</v>
      </c>
      <c r="B5" s="54">
        <v>22.6</v>
      </c>
      <c r="C5" s="54">
        <v>23.3</v>
      </c>
      <c r="D5" s="54">
        <v>24.5</v>
      </c>
      <c r="E5" s="54">
        <v>23.9</v>
      </c>
      <c r="F5" s="54">
        <v>23.9</v>
      </c>
      <c r="G5" s="54">
        <v>61.4</v>
      </c>
      <c r="H5" s="54">
        <v>70.599999999999994</v>
      </c>
      <c r="I5" s="54">
        <v>65.900000000000006</v>
      </c>
    </row>
    <row r="7" spans="1:9" ht="19">
      <c r="A7" s="5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F2C2-14E0-0749-AF45-A24041700DDD}">
  <dimension ref="A1:N10"/>
  <sheetViews>
    <sheetView workbookViewId="0">
      <selection activeCell="F9" sqref="F9"/>
    </sheetView>
  </sheetViews>
  <sheetFormatPr baseColWidth="10" defaultColWidth="11.5" defaultRowHeight="13"/>
  <sheetData>
    <row r="1" spans="1:14" ht="61" thickBot="1">
      <c r="A1" s="54" t="s">
        <v>23</v>
      </c>
      <c r="B1" s="54" t="s">
        <v>0</v>
      </c>
      <c r="C1" s="54" t="s">
        <v>1</v>
      </c>
      <c r="D1" s="54" t="s">
        <v>24</v>
      </c>
      <c r="E1" s="54" t="s">
        <v>25</v>
      </c>
      <c r="F1" s="54" t="s">
        <v>26</v>
      </c>
      <c r="G1" s="54" t="s">
        <v>27</v>
      </c>
      <c r="H1" s="54" t="s">
        <v>28</v>
      </c>
      <c r="I1" s="54" t="s">
        <v>29</v>
      </c>
      <c r="J1" s="55"/>
      <c r="K1" s="55"/>
      <c r="L1" s="55"/>
      <c r="M1" s="55"/>
      <c r="N1" s="55"/>
    </row>
    <row r="2" spans="1:14" ht="21" thickBot="1">
      <c r="A2" s="54" t="s">
        <v>8</v>
      </c>
      <c r="B2" s="54">
        <v>21.1</v>
      </c>
      <c r="C2" s="54">
        <v>19.899999999999999</v>
      </c>
      <c r="D2" s="54">
        <v>20.7</v>
      </c>
      <c r="E2" s="54">
        <v>20.7</v>
      </c>
      <c r="F2" s="54">
        <v>20.8</v>
      </c>
      <c r="G2" s="54">
        <v>21</v>
      </c>
      <c r="H2" s="54">
        <v>20.9</v>
      </c>
      <c r="I2" s="54">
        <v>20.8</v>
      </c>
    </row>
    <row r="3" spans="1:14" ht="21" thickBot="1">
      <c r="A3" s="54" t="s">
        <v>9</v>
      </c>
      <c r="B3" s="54">
        <v>21.5</v>
      </c>
      <c r="C3" s="54">
        <v>21.4</v>
      </c>
      <c r="D3" s="54">
        <v>22.3</v>
      </c>
      <c r="E3" s="54">
        <v>22.9</v>
      </c>
      <c r="F3" s="54">
        <v>22.5</v>
      </c>
      <c r="G3" s="54">
        <v>21.7</v>
      </c>
      <c r="H3" s="54">
        <v>21.3</v>
      </c>
      <c r="I3" s="54">
        <v>21.2</v>
      </c>
    </row>
    <row r="4" spans="1:14" ht="21" thickBot="1">
      <c r="A4" s="54" t="s">
        <v>10</v>
      </c>
      <c r="B4" s="54">
        <v>21.8</v>
      </c>
      <c r="C4" s="54">
        <v>22.3</v>
      </c>
      <c r="D4" s="54">
        <v>24.3</v>
      </c>
      <c r="E4" s="54">
        <v>25.7</v>
      </c>
      <c r="F4" s="54">
        <v>24.4</v>
      </c>
      <c r="G4" s="54">
        <v>22.1</v>
      </c>
      <c r="H4" s="54">
        <v>21.9</v>
      </c>
      <c r="I4" s="54">
        <v>22.3</v>
      </c>
    </row>
    <row r="5" spans="1:14" ht="21" thickBot="1">
      <c r="A5" s="54" t="s">
        <v>11</v>
      </c>
      <c r="B5" s="54">
        <v>22.6</v>
      </c>
      <c r="C5" s="54">
        <v>23.9</v>
      </c>
      <c r="D5" s="54">
        <v>27.8</v>
      </c>
      <c r="E5" s="54">
        <v>30.1</v>
      </c>
      <c r="F5" s="54">
        <v>27.2</v>
      </c>
      <c r="G5" s="54">
        <v>23</v>
      </c>
      <c r="H5" s="54">
        <v>23</v>
      </c>
      <c r="I5" s="54">
        <v>24</v>
      </c>
    </row>
    <row r="6" spans="1:14" ht="21" thickBot="1">
      <c r="A6" s="54" t="s">
        <v>12</v>
      </c>
      <c r="B6" s="54">
        <v>23.4</v>
      </c>
      <c r="C6" s="54">
        <v>25.3</v>
      </c>
      <c r="D6" s="54">
        <v>31.7</v>
      </c>
      <c r="E6" s="54">
        <v>35.299999999999997</v>
      </c>
      <c r="F6" s="54">
        <v>30.1</v>
      </c>
      <c r="G6" s="54">
        <v>23.8</v>
      </c>
      <c r="H6" s="54">
        <v>24</v>
      </c>
      <c r="I6" s="54">
        <v>25.7</v>
      </c>
    </row>
    <row r="7" spans="1:14" ht="21" thickBot="1">
      <c r="A7" s="54" t="s">
        <v>13</v>
      </c>
      <c r="B7" s="54">
        <v>22.8</v>
      </c>
      <c r="C7" s="54">
        <v>25.5</v>
      </c>
      <c r="D7" s="54">
        <v>35.200000000000003</v>
      </c>
      <c r="E7" s="54">
        <v>40.1</v>
      </c>
      <c r="F7" s="54">
        <v>31.7</v>
      </c>
      <c r="G7" s="54">
        <v>23.3</v>
      </c>
      <c r="H7" s="54">
        <v>23.4</v>
      </c>
      <c r="I7" s="54">
        <v>26.1</v>
      </c>
    </row>
    <row r="9" spans="1:14">
      <c r="A9" s="9" t="s">
        <v>30</v>
      </c>
    </row>
    <row r="10" spans="1:14">
      <c r="A1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B514-D37B-462C-82B4-53C81A13A251}">
  <dimension ref="A1:D39"/>
  <sheetViews>
    <sheetView workbookViewId="0">
      <selection activeCell="R13" sqref="R13"/>
    </sheetView>
  </sheetViews>
  <sheetFormatPr baseColWidth="10" defaultColWidth="11.5" defaultRowHeight="13"/>
  <sheetData>
    <row r="1" spans="1:4">
      <c r="A1" s="4" t="s">
        <v>32</v>
      </c>
    </row>
    <row r="2" spans="1:4">
      <c r="A2" s="4" t="s">
        <v>214</v>
      </c>
      <c r="B2" s="4" t="s">
        <v>232</v>
      </c>
    </row>
    <row r="3" spans="1:4">
      <c r="A3" s="4" t="s">
        <v>34</v>
      </c>
      <c r="B3" s="4" t="s">
        <v>216</v>
      </c>
      <c r="C3" s="4" t="s">
        <v>217</v>
      </c>
      <c r="D3" s="4" t="s">
        <v>218</v>
      </c>
    </row>
    <row r="4" spans="1:4">
      <c r="A4" s="4" t="s">
        <v>219</v>
      </c>
      <c r="B4" s="4">
        <v>0.106</v>
      </c>
      <c r="C4" s="4">
        <v>0.106</v>
      </c>
      <c r="D4" s="61">
        <f t="shared" ref="D4:D39" si="0">C4/9.95</f>
        <v>1.0653266331658293E-2</v>
      </c>
    </row>
    <row r="5" spans="1:4">
      <c r="A5" s="4" t="s">
        <v>220</v>
      </c>
      <c r="B5" s="4">
        <v>1.4139999999999999</v>
      </c>
      <c r="C5" s="4">
        <f t="shared" ref="C5:C39" si="1">B5-B4</f>
        <v>1.3079999999999998</v>
      </c>
      <c r="D5" s="61">
        <f t="shared" si="0"/>
        <v>0.13145728643216079</v>
      </c>
    </row>
    <row r="6" spans="1:4">
      <c r="A6" s="4">
        <v>1</v>
      </c>
      <c r="B6" s="4">
        <v>1.9810000000000001</v>
      </c>
      <c r="C6" s="4">
        <f t="shared" si="1"/>
        <v>0.56700000000000017</v>
      </c>
      <c r="D6" s="61">
        <f t="shared" si="0"/>
        <v>5.69849246231156E-2</v>
      </c>
    </row>
    <row r="7" spans="1:4">
      <c r="A7" s="4">
        <v>2</v>
      </c>
      <c r="B7" s="4">
        <v>4.18</v>
      </c>
      <c r="C7" s="4">
        <f t="shared" si="1"/>
        <v>2.1989999999999998</v>
      </c>
      <c r="D7" s="61">
        <f t="shared" si="0"/>
        <v>0.22100502512562814</v>
      </c>
    </row>
    <row r="8" spans="1:4">
      <c r="A8" s="4">
        <v>3</v>
      </c>
      <c r="B8" s="4">
        <v>6.5119999999999996</v>
      </c>
      <c r="C8" s="4">
        <f t="shared" si="1"/>
        <v>2.3319999999999999</v>
      </c>
      <c r="D8" s="61">
        <f t="shared" si="0"/>
        <v>0.23437185929648241</v>
      </c>
    </row>
    <row r="9" spans="1:4">
      <c r="A9" s="4">
        <v>4</v>
      </c>
      <c r="B9" s="4">
        <v>8.7530000000000001</v>
      </c>
      <c r="C9" s="4">
        <f t="shared" si="1"/>
        <v>2.2410000000000005</v>
      </c>
      <c r="D9" s="61">
        <f t="shared" si="0"/>
        <v>0.22522613065326641</v>
      </c>
    </row>
    <row r="10" spans="1:4">
      <c r="A10" s="4">
        <v>5</v>
      </c>
      <c r="B10" s="4">
        <v>11.068</v>
      </c>
      <c r="C10" s="4">
        <f t="shared" si="1"/>
        <v>2.3149999999999995</v>
      </c>
      <c r="D10" s="61">
        <f t="shared" si="0"/>
        <v>0.23266331658291453</v>
      </c>
    </row>
    <row r="11" spans="1:4">
      <c r="A11" s="4">
        <v>6</v>
      </c>
      <c r="B11" s="4">
        <v>13.351000000000001</v>
      </c>
      <c r="C11" s="4">
        <f t="shared" si="1"/>
        <v>2.2830000000000013</v>
      </c>
      <c r="D11" s="61">
        <f t="shared" si="0"/>
        <v>0.22944723618090465</v>
      </c>
    </row>
    <row r="12" spans="1:4">
      <c r="A12" s="4">
        <v>7</v>
      </c>
      <c r="B12" s="4">
        <v>15.64</v>
      </c>
      <c r="C12" s="4">
        <f t="shared" si="1"/>
        <v>2.2889999999999997</v>
      </c>
      <c r="D12" s="61">
        <f t="shared" si="0"/>
        <v>0.2300502512562814</v>
      </c>
    </row>
    <row r="13" spans="1:4">
      <c r="A13" s="4">
        <v>8</v>
      </c>
      <c r="B13" s="4">
        <v>17.942</v>
      </c>
      <c r="C13" s="4">
        <f t="shared" si="1"/>
        <v>2.3019999999999996</v>
      </c>
      <c r="D13" s="61">
        <f t="shared" si="0"/>
        <v>0.23135678391959796</v>
      </c>
    </row>
    <row r="14" spans="1:4">
      <c r="A14" s="4">
        <v>9</v>
      </c>
      <c r="B14" s="4">
        <v>20.117000000000001</v>
      </c>
      <c r="C14" s="4">
        <f t="shared" si="1"/>
        <v>2.1750000000000007</v>
      </c>
      <c r="D14" s="61">
        <f t="shared" si="0"/>
        <v>0.21859296482412069</v>
      </c>
    </row>
    <row r="15" spans="1:4">
      <c r="A15" s="4">
        <v>10</v>
      </c>
      <c r="B15" s="4">
        <v>22.384</v>
      </c>
      <c r="C15" s="4">
        <f t="shared" si="1"/>
        <v>2.2669999999999995</v>
      </c>
      <c r="D15" s="61">
        <f t="shared" si="0"/>
        <v>0.22783919597989946</v>
      </c>
    </row>
    <row r="16" spans="1:4">
      <c r="A16" s="4">
        <v>11</v>
      </c>
      <c r="B16" s="4">
        <v>24.652999999999999</v>
      </c>
      <c r="C16" s="4">
        <f t="shared" si="1"/>
        <v>2.2689999999999984</v>
      </c>
      <c r="D16" s="61">
        <f t="shared" si="0"/>
        <v>0.22804020100502498</v>
      </c>
    </row>
    <row r="17" spans="1:4">
      <c r="A17" s="4">
        <v>12</v>
      </c>
      <c r="B17" s="4">
        <v>26.863</v>
      </c>
      <c r="C17" s="4">
        <f t="shared" si="1"/>
        <v>2.2100000000000009</v>
      </c>
      <c r="D17" s="61">
        <f t="shared" si="0"/>
        <v>0.22211055276381919</v>
      </c>
    </row>
    <row r="18" spans="1:4">
      <c r="A18" s="4">
        <v>13</v>
      </c>
      <c r="B18" s="4">
        <v>29.27</v>
      </c>
      <c r="C18" s="4">
        <f t="shared" si="1"/>
        <v>2.407</v>
      </c>
      <c r="D18" s="61">
        <f t="shared" si="0"/>
        <v>0.2419095477386935</v>
      </c>
    </row>
    <row r="19" spans="1:4">
      <c r="A19" s="4">
        <v>14</v>
      </c>
      <c r="B19" s="4">
        <v>31.605</v>
      </c>
      <c r="C19" s="4">
        <f t="shared" si="1"/>
        <v>2.3350000000000009</v>
      </c>
      <c r="D19" s="61">
        <f t="shared" si="0"/>
        <v>0.23467336683417095</v>
      </c>
    </row>
    <row r="20" spans="1:4">
      <c r="A20" s="4">
        <v>15</v>
      </c>
      <c r="B20" s="4">
        <v>34.003999999999998</v>
      </c>
      <c r="C20" s="4">
        <f t="shared" si="1"/>
        <v>2.3989999999999974</v>
      </c>
      <c r="D20" s="61">
        <f t="shared" si="0"/>
        <v>0.24110552763819071</v>
      </c>
    </row>
    <row r="21" spans="1:4">
      <c r="A21" s="4">
        <v>16</v>
      </c>
      <c r="B21" s="4">
        <v>36.259</v>
      </c>
      <c r="C21" s="4">
        <f t="shared" si="1"/>
        <v>2.2550000000000026</v>
      </c>
      <c r="D21" s="61">
        <f t="shared" si="0"/>
        <v>0.226633165829146</v>
      </c>
    </row>
    <row r="22" spans="1:4">
      <c r="A22" s="4">
        <v>17</v>
      </c>
      <c r="B22" s="4">
        <v>38.491</v>
      </c>
      <c r="C22" s="4">
        <f t="shared" si="1"/>
        <v>2.2319999999999993</v>
      </c>
      <c r="D22" s="61">
        <f t="shared" si="0"/>
        <v>0.22432160804020096</v>
      </c>
    </row>
    <row r="23" spans="1:4">
      <c r="A23" s="4">
        <v>18</v>
      </c>
      <c r="B23" s="4">
        <v>40.872999999999998</v>
      </c>
      <c r="C23" s="4">
        <f t="shared" si="1"/>
        <v>2.3819999999999979</v>
      </c>
      <c r="D23" s="61">
        <f t="shared" si="0"/>
        <v>0.23939698492462291</v>
      </c>
    </row>
    <row r="24" spans="1:4">
      <c r="A24" s="4">
        <v>19</v>
      </c>
      <c r="B24" s="4">
        <v>43.121000000000002</v>
      </c>
      <c r="C24" s="4">
        <f t="shared" si="1"/>
        <v>2.2480000000000047</v>
      </c>
      <c r="D24" s="61">
        <f t="shared" si="0"/>
        <v>0.22592964824120651</v>
      </c>
    </row>
    <row r="25" spans="1:4">
      <c r="A25" s="4">
        <v>20</v>
      </c>
      <c r="B25" s="4">
        <v>45.332000000000001</v>
      </c>
      <c r="C25" s="4">
        <f t="shared" si="1"/>
        <v>2.2109999999999985</v>
      </c>
      <c r="D25" s="61">
        <f t="shared" si="0"/>
        <v>0.22221105527638177</v>
      </c>
    </row>
    <row r="26" spans="1:4">
      <c r="A26" s="4">
        <v>21</v>
      </c>
      <c r="B26" s="4">
        <v>47.686999999999998</v>
      </c>
      <c r="C26" s="4">
        <f t="shared" si="1"/>
        <v>2.3549999999999969</v>
      </c>
      <c r="D26" s="61">
        <f t="shared" si="0"/>
        <v>0.23668341708542684</v>
      </c>
    </row>
    <row r="27" spans="1:4">
      <c r="A27" s="4">
        <v>22</v>
      </c>
      <c r="B27" s="4">
        <v>49.981999999999999</v>
      </c>
      <c r="C27" s="4">
        <f t="shared" si="1"/>
        <v>2.2950000000000017</v>
      </c>
      <c r="D27" s="61">
        <f t="shared" si="0"/>
        <v>0.23065326633165847</v>
      </c>
    </row>
    <row r="28" spans="1:4">
      <c r="A28" s="4">
        <v>23</v>
      </c>
      <c r="B28" s="4">
        <v>52.289000000000001</v>
      </c>
      <c r="C28" s="4">
        <f t="shared" si="1"/>
        <v>2.3070000000000022</v>
      </c>
      <c r="D28" s="61">
        <f t="shared" si="0"/>
        <v>0.2318592964824123</v>
      </c>
    </row>
    <row r="29" spans="1:4">
      <c r="A29" s="4">
        <v>24</v>
      </c>
      <c r="B29" s="4">
        <v>54.521999999999998</v>
      </c>
      <c r="C29" s="4">
        <f t="shared" si="1"/>
        <v>2.232999999999997</v>
      </c>
      <c r="D29" s="61">
        <f t="shared" si="0"/>
        <v>0.22442211055276354</v>
      </c>
    </row>
    <row r="30" spans="1:4">
      <c r="A30" s="4">
        <v>25</v>
      </c>
      <c r="B30" s="4">
        <v>56.795999999999999</v>
      </c>
      <c r="C30" s="4">
        <f t="shared" si="1"/>
        <v>2.2740000000000009</v>
      </c>
      <c r="D30" s="61">
        <f t="shared" si="0"/>
        <v>0.22854271356783931</v>
      </c>
    </row>
    <row r="31" spans="1:4">
      <c r="A31" s="4">
        <v>26</v>
      </c>
      <c r="B31" s="4">
        <v>59.040999999999997</v>
      </c>
      <c r="C31" s="4">
        <f t="shared" si="1"/>
        <v>2.2449999999999974</v>
      </c>
      <c r="D31" s="61">
        <f t="shared" si="0"/>
        <v>0.22562814070351736</v>
      </c>
    </row>
    <row r="32" spans="1:4">
      <c r="A32" s="4">
        <v>27</v>
      </c>
      <c r="B32" s="4">
        <v>61.279000000000003</v>
      </c>
      <c r="C32" s="4">
        <f t="shared" si="1"/>
        <v>2.2380000000000067</v>
      </c>
      <c r="D32" s="61">
        <f t="shared" si="0"/>
        <v>0.22492462311557856</v>
      </c>
    </row>
    <row r="33" spans="1:4">
      <c r="A33" s="4">
        <v>28</v>
      </c>
      <c r="B33" s="4">
        <v>63.514000000000003</v>
      </c>
      <c r="C33" s="4">
        <f t="shared" si="1"/>
        <v>2.2349999999999994</v>
      </c>
      <c r="D33" s="61">
        <f t="shared" si="0"/>
        <v>0.22462311557788942</v>
      </c>
    </row>
    <row r="34" spans="1:4">
      <c r="A34" s="4">
        <v>29</v>
      </c>
      <c r="B34" s="4">
        <v>66.055999999999997</v>
      </c>
      <c r="C34" s="4">
        <f t="shared" si="1"/>
        <v>2.5419999999999945</v>
      </c>
      <c r="D34" s="61">
        <f t="shared" si="0"/>
        <v>0.25547738693467281</v>
      </c>
    </row>
    <row r="35" spans="1:4">
      <c r="A35" s="4">
        <v>30</v>
      </c>
      <c r="B35" s="4">
        <v>68.236999999999995</v>
      </c>
      <c r="C35" s="4">
        <f t="shared" si="1"/>
        <v>2.1809999999999974</v>
      </c>
      <c r="D35" s="61">
        <f t="shared" si="0"/>
        <v>0.21919597989949724</v>
      </c>
    </row>
    <row r="36" spans="1:4">
      <c r="A36" s="4">
        <v>31</v>
      </c>
      <c r="B36" s="4">
        <v>70.448999999999998</v>
      </c>
      <c r="C36" s="4">
        <f t="shared" si="1"/>
        <v>2.2120000000000033</v>
      </c>
      <c r="D36" s="61">
        <f t="shared" si="0"/>
        <v>0.22231155778894507</v>
      </c>
    </row>
    <row r="37" spans="1:4">
      <c r="A37" s="4">
        <v>32</v>
      </c>
      <c r="B37" s="4">
        <v>72.763000000000005</v>
      </c>
      <c r="C37" s="4">
        <f t="shared" si="1"/>
        <v>2.3140000000000072</v>
      </c>
      <c r="D37" s="61">
        <f t="shared" si="0"/>
        <v>0.23256281407035251</v>
      </c>
    </row>
    <row r="38" spans="1:4">
      <c r="A38" s="4" t="s">
        <v>219</v>
      </c>
      <c r="B38" s="4">
        <v>73.266000000000005</v>
      </c>
      <c r="C38" s="4">
        <f t="shared" si="1"/>
        <v>0.50300000000000011</v>
      </c>
      <c r="D38" s="61">
        <f t="shared" si="0"/>
        <v>5.0552763819095493E-2</v>
      </c>
    </row>
    <row r="39" spans="1:4">
      <c r="A39" s="4" t="s">
        <v>221</v>
      </c>
      <c r="B39" s="4">
        <v>73.400999999999996</v>
      </c>
      <c r="C39" s="4">
        <f t="shared" si="1"/>
        <v>0.13499999999999091</v>
      </c>
      <c r="D39" s="61">
        <f t="shared" si="0"/>
        <v>1.3567839195978986E-2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D78A-D732-44AA-A84B-5FC81CEC9A74}">
  <dimension ref="A1:D39"/>
  <sheetViews>
    <sheetView topLeftCell="A3" workbookViewId="0">
      <selection activeCell="R13" sqref="R13"/>
    </sheetView>
  </sheetViews>
  <sheetFormatPr baseColWidth="10" defaultColWidth="8.83203125" defaultRowHeight="13"/>
  <sheetData>
    <row r="1" spans="1:4">
      <c r="A1" s="4" t="s">
        <v>31</v>
      </c>
    </row>
    <row r="2" spans="1:4">
      <c r="A2" s="4" t="s">
        <v>214</v>
      </c>
      <c r="B2" s="4" t="s">
        <v>215</v>
      </c>
    </row>
    <row r="3" spans="1:4">
      <c r="A3" s="4" t="s">
        <v>34</v>
      </c>
      <c r="B3" s="4" t="s">
        <v>216</v>
      </c>
      <c r="C3" s="4" t="s">
        <v>217</v>
      </c>
      <c r="D3" s="4" t="s">
        <v>218</v>
      </c>
    </row>
    <row r="4" spans="1:4">
      <c r="A4" s="4" t="s">
        <v>219</v>
      </c>
      <c r="B4" s="4">
        <v>0.113</v>
      </c>
      <c r="C4" s="4">
        <v>0.113</v>
      </c>
      <c r="D4" s="61">
        <f t="shared" ref="D4:D39" si="0">C4/9.95</f>
        <v>1.135678391959799E-2</v>
      </c>
    </row>
    <row r="5" spans="1:4">
      <c r="A5" s="4" t="s">
        <v>220</v>
      </c>
      <c r="B5" s="4">
        <v>1.3260000000000001</v>
      </c>
      <c r="C5" s="4">
        <f t="shared" ref="C5:C39" si="1">B5-B4</f>
        <v>1.2130000000000001</v>
      </c>
      <c r="D5" s="61">
        <f t="shared" si="0"/>
        <v>0.12190954773869349</v>
      </c>
    </row>
    <row r="6" spans="1:4">
      <c r="A6" s="4">
        <v>1</v>
      </c>
      <c r="B6" s="4">
        <v>2.0089999999999999</v>
      </c>
      <c r="C6" s="4">
        <f t="shared" si="1"/>
        <v>0.68299999999999983</v>
      </c>
      <c r="D6" s="61">
        <f t="shared" si="0"/>
        <v>6.8643216080401998E-2</v>
      </c>
    </row>
    <row r="7" spans="1:4">
      <c r="A7" s="4">
        <v>2</v>
      </c>
      <c r="B7" s="4">
        <v>4.33</v>
      </c>
      <c r="C7" s="4">
        <f t="shared" si="1"/>
        <v>2.3210000000000002</v>
      </c>
      <c r="D7" s="61">
        <f t="shared" si="0"/>
        <v>0.2332663316582915</v>
      </c>
    </row>
    <row r="8" spans="1:4">
      <c r="A8" s="4">
        <v>3</v>
      </c>
      <c r="B8" s="4">
        <v>6.6319999999999997</v>
      </c>
      <c r="C8" s="4">
        <f t="shared" si="1"/>
        <v>2.3019999999999996</v>
      </c>
      <c r="D8" s="61">
        <f t="shared" si="0"/>
        <v>0.23135678391959796</v>
      </c>
    </row>
    <row r="9" spans="1:4">
      <c r="A9" s="4">
        <v>4</v>
      </c>
      <c r="B9" s="4">
        <v>8.8829999999999991</v>
      </c>
      <c r="C9" s="4">
        <f t="shared" si="1"/>
        <v>2.2509999999999994</v>
      </c>
      <c r="D9" s="61">
        <f t="shared" si="0"/>
        <v>0.22623115577889444</v>
      </c>
    </row>
    <row r="10" spans="1:4">
      <c r="A10" s="4">
        <v>5</v>
      </c>
      <c r="B10" s="4">
        <v>11.175000000000001</v>
      </c>
      <c r="C10" s="4">
        <f t="shared" si="1"/>
        <v>2.2920000000000016</v>
      </c>
      <c r="D10" s="61">
        <f t="shared" si="0"/>
        <v>0.23035175879397002</v>
      </c>
    </row>
    <row r="11" spans="1:4">
      <c r="A11" s="4">
        <v>6</v>
      </c>
      <c r="B11" s="4">
        <v>13.43</v>
      </c>
      <c r="C11" s="4">
        <f t="shared" si="1"/>
        <v>2.254999999999999</v>
      </c>
      <c r="D11" s="61">
        <f t="shared" si="0"/>
        <v>0.22663316582914564</v>
      </c>
    </row>
    <row r="12" spans="1:4">
      <c r="A12" s="4">
        <v>7</v>
      </c>
      <c r="B12" s="4">
        <v>15.733000000000001</v>
      </c>
      <c r="C12" s="4">
        <f t="shared" si="1"/>
        <v>2.3030000000000008</v>
      </c>
      <c r="D12" s="61">
        <f t="shared" si="0"/>
        <v>0.2314572864321609</v>
      </c>
    </row>
    <row r="13" spans="1:4">
      <c r="A13" s="4">
        <v>8</v>
      </c>
      <c r="B13" s="4">
        <v>18.074999999999999</v>
      </c>
      <c r="C13" s="4">
        <f t="shared" si="1"/>
        <v>2.3419999999999987</v>
      </c>
      <c r="D13" s="61">
        <f t="shared" si="0"/>
        <v>0.23537688442211044</v>
      </c>
    </row>
    <row r="14" spans="1:4">
      <c r="A14" s="4">
        <v>9</v>
      </c>
      <c r="B14" s="4">
        <v>20.986999999999998</v>
      </c>
      <c r="C14" s="4">
        <f t="shared" si="1"/>
        <v>2.911999999999999</v>
      </c>
      <c r="D14" s="61">
        <f t="shared" si="0"/>
        <v>0.2926633165829145</v>
      </c>
    </row>
    <row r="15" spans="1:4">
      <c r="A15" s="4">
        <v>10</v>
      </c>
      <c r="B15" s="4">
        <v>23.234000000000002</v>
      </c>
      <c r="C15" s="4">
        <f t="shared" si="1"/>
        <v>2.2470000000000034</v>
      </c>
      <c r="D15" s="61">
        <f t="shared" si="0"/>
        <v>0.22582914572864357</v>
      </c>
    </row>
    <row r="16" spans="1:4">
      <c r="A16" s="4">
        <v>11</v>
      </c>
      <c r="B16" s="4">
        <v>25.561</v>
      </c>
      <c r="C16" s="4">
        <f t="shared" si="1"/>
        <v>2.3269999999999982</v>
      </c>
      <c r="D16" s="61">
        <f t="shared" si="0"/>
        <v>0.23386934673366819</v>
      </c>
    </row>
    <row r="17" spans="1:4">
      <c r="A17" s="4">
        <v>12</v>
      </c>
      <c r="B17" s="4">
        <v>27.867000000000001</v>
      </c>
      <c r="C17" s="4">
        <f t="shared" si="1"/>
        <v>2.3060000000000009</v>
      </c>
      <c r="D17" s="61">
        <f t="shared" si="0"/>
        <v>0.23175879396984936</v>
      </c>
    </row>
    <row r="18" spans="1:4">
      <c r="A18" s="4">
        <v>13</v>
      </c>
      <c r="B18" s="4">
        <v>30.167999999999999</v>
      </c>
      <c r="C18" s="4">
        <f t="shared" si="1"/>
        <v>2.3009999999999984</v>
      </c>
      <c r="D18" s="61">
        <f t="shared" si="0"/>
        <v>0.23125628140703502</v>
      </c>
    </row>
    <row r="19" spans="1:4">
      <c r="A19" s="4">
        <v>14</v>
      </c>
      <c r="B19" s="4">
        <v>32.44</v>
      </c>
      <c r="C19" s="4">
        <f t="shared" si="1"/>
        <v>2.2719999999999985</v>
      </c>
      <c r="D19" s="61">
        <f t="shared" si="0"/>
        <v>0.22834170854271343</v>
      </c>
    </row>
    <row r="20" spans="1:4">
      <c r="A20" s="4">
        <v>15</v>
      </c>
      <c r="B20" s="4">
        <v>34.713000000000001</v>
      </c>
      <c r="C20" s="4">
        <f t="shared" si="1"/>
        <v>2.2730000000000032</v>
      </c>
      <c r="D20" s="61">
        <f t="shared" si="0"/>
        <v>0.22844221105527673</v>
      </c>
    </row>
    <row r="21" spans="1:4">
      <c r="A21" s="4">
        <v>16</v>
      </c>
      <c r="B21" s="4">
        <v>37.015000000000001</v>
      </c>
      <c r="C21" s="4">
        <f t="shared" si="1"/>
        <v>2.3019999999999996</v>
      </c>
      <c r="D21" s="61">
        <f t="shared" si="0"/>
        <v>0.23135678391959796</v>
      </c>
    </row>
    <row r="22" spans="1:4">
      <c r="A22" s="4">
        <v>17</v>
      </c>
      <c r="B22" s="4">
        <v>39.375999999999998</v>
      </c>
      <c r="C22" s="4">
        <f t="shared" si="1"/>
        <v>2.3609999999999971</v>
      </c>
      <c r="D22" s="61">
        <f t="shared" si="0"/>
        <v>0.23728643216080375</v>
      </c>
    </row>
    <row r="23" spans="1:4">
      <c r="A23" s="4">
        <v>18</v>
      </c>
      <c r="B23" s="4">
        <v>41.758000000000003</v>
      </c>
      <c r="C23" s="4">
        <f t="shared" si="1"/>
        <v>2.382000000000005</v>
      </c>
      <c r="D23" s="61">
        <f t="shared" si="0"/>
        <v>0.23939698492462363</v>
      </c>
    </row>
    <row r="24" spans="1:4">
      <c r="A24" s="4">
        <v>19</v>
      </c>
      <c r="B24" s="4">
        <v>44.146999999999998</v>
      </c>
      <c r="C24" s="4">
        <f t="shared" si="1"/>
        <v>2.3889999999999958</v>
      </c>
      <c r="D24" s="61">
        <f t="shared" si="0"/>
        <v>0.2401005025125624</v>
      </c>
    </row>
    <row r="25" spans="1:4">
      <c r="A25" s="4">
        <v>20</v>
      </c>
      <c r="B25" s="4">
        <v>46.453000000000003</v>
      </c>
      <c r="C25" s="4">
        <f t="shared" si="1"/>
        <v>2.3060000000000045</v>
      </c>
      <c r="D25" s="61">
        <f t="shared" si="0"/>
        <v>0.23175879396984972</v>
      </c>
    </row>
    <row r="26" spans="1:4">
      <c r="A26" s="4">
        <v>21</v>
      </c>
      <c r="B26" s="4">
        <v>48.741999999999997</v>
      </c>
      <c r="C26" s="4">
        <f t="shared" si="1"/>
        <v>2.2889999999999944</v>
      </c>
      <c r="D26" s="61">
        <f t="shared" si="0"/>
        <v>0.23005025125628087</v>
      </c>
    </row>
    <row r="27" spans="1:4">
      <c r="A27" s="4">
        <v>22</v>
      </c>
      <c r="B27" s="4">
        <v>51.067</v>
      </c>
      <c r="C27" s="4">
        <f t="shared" si="1"/>
        <v>2.3250000000000028</v>
      </c>
      <c r="D27" s="61">
        <f t="shared" si="0"/>
        <v>0.233668341708543</v>
      </c>
    </row>
    <row r="28" spans="1:4">
      <c r="A28" s="4">
        <v>23</v>
      </c>
      <c r="B28" s="4">
        <v>53.253</v>
      </c>
      <c r="C28" s="4">
        <f t="shared" si="1"/>
        <v>2.1859999999999999</v>
      </c>
      <c r="D28" s="61">
        <f t="shared" si="0"/>
        <v>0.21969849246231157</v>
      </c>
    </row>
    <row r="29" spans="1:4">
      <c r="A29" s="4">
        <v>24</v>
      </c>
      <c r="B29" s="4">
        <v>55.475000000000001</v>
      </c>
      <c r="C29" s="4">
        <f t="shared" si="1"/>
        <v>2.2220000000000013</v>
      </c>
      <c r="D29" s="61">
        <f t="shared" si="0"/>
        <v>0.22331658291457301</v>
      </c>
    </row>
    <row r="30" spans="1:4">
      <c r="A30" s="4">
        <v>25</v>
      </c>
      <c r="B30" s="4">
        <v>57.908999999999999</v>
      </c>
      <c r="C30" s="4">
        <f t="shared" si="1"/>
        <v>2.4339999999999975</v>
      </c>
      <c r="D30" s="61">
        <f t="shared" si="0"/>
        <v>0.24462311557788921</v>
      </c>
    </row>
    <row r="31" spans="1:4">
      <c r="A31" s="4">
        <v>26</v>
      </c>
      <c r="B31" s="4">
        <v>60.281999999999996</v>
      </c>
      <c r="C31" s="4">
        <f t="shared" si="1"/>
        <v>2.3729999999999976</v>
      </c>
      <c r="D31" s="61">
        <f t="shared" si="0"/>
        <v>0.23849246231155757</v>
      </c>
    </row>
    <row r="32" spans="1:4">
      <c r="A32" s="4">
        <v>27</v>
      </c>
      <c r="B32" s="4">
        <v>62.454000000000001</v>
      </c>
      <c r="C32" s="4">
        <f t="shared" si="1"/>
        <v>2.1720000000000041</v>
      </c>
      <c r="D32" s="61">
        <f t="shared" si="0"/>
        <v>0.21829145728643259</v>
      </c>
    </row>
    <row r="33" spans="1:4">
      <c r="A33" s="4">
        <v>28</v>
      </c>
      <c r="B33" s="4">
        <v>64.674999999999997</v>
      </c>
      <c r="C33" s="4">
        <f t="shared" si="1"/>
        <v>2.2209999999999965</v>
      </c>
      <c r="D33" s="61">
        <f t="shared" si="0"/>
        <v>0.22321608040200971</v>
      </c>
    </row>
    <row r="34" spans="1:4">
      <c r="A34" s="4">
        <v>29</v>
      </c>
      <c r="B34" s="4">
        <v>67.135999999999996</v>
      </c>
      <c r="C34" s="4">
        <f t="shared" si="1"/>
        <v>2.4609999999999985</v>
      </c>
      <c r="D34" s="61">
        <f t="shared" si="0"/>
        <v>0.24733668341708528</v>
      </c>
    </row>
    <row r="35" spans="1:4">
      <c r="A35" s="4">
        <v>30</v>
      </c>
      <c r="B35" s="4">
        <v>69.326999999999998</v>
      </c>
      <c r="C35" s="4">
        <f t="shared" si="1"/>
        <v>2.1910000000000025</v>
      </c>
      <c r="D35" s="61">
        <f t="shared" si="0"/>
        <v>0.22020100502512591</v>
      </c>
    </row>
    <row r="36" spans="1:4">
      <c r="A36" s="4">
        <v>31</v>
      </c>
      <c r="B36" s="4">
        <v>71.677999999999997</v>
      </c>
      <c r="C36" s="4">
        <f t="shared" si="1"/>
        <v>2.3509999999999991</v>
      </c>
      <c r="D36" s="61">
        <f t="shared" si="0"/>
        <v>0.23628140703517581</v>
      </c>
    </row>
    <row r="37" spans="1:4">
      <c r="A37" s="4">
        <v>32</v>
      </c>
      <c r="B37" s="4">
        <v>73.948999999999998</v>
      </c>
      <c r="C37" s="4">
        <f t="shared" si="1"/>
        <v>2.2710000000000008</v>
      </c>
      <c r="D37" s="61">
        <f t="shared" si="0"/>
        <v>0.22824120603015086</v>
      </c>
    </row>
    <row r="38" spans="1:4">
      <c r="A38" s="4" t="s">
        <v>219</v>
      </c>
      <c r="B38" s="4">
        <v>74.441999999999993</v>
      </c>
      <c r="C38" s="4">
        <f t="shared" si="1"/>
        <v>0.492999999999995</v>
      </c>
      <c r="D38" s="61">
        <f t="shared" si="0"/>
        <v>4.954773869346684E-2</v>
      </c>
    </row>
    <row r="39" spans="1:4">
      <c r="A39" s="4" t="s">
        <v>221</v>
      </c>
      <c r="B39" s="4">
        <v>74.55</v>
      </c>
      <c r="C39" s="4">
        <f t="shared" si="1"/>
        <v>0.10800000000000409</v>
      </c>
      <c r="D39" s="61">
        <f t="shared" si="0"/>
        <v>1.0854271356784332E-2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44F1-535D-2A44-B7AB-0B7F6C6B98DA}">
  <sheetPr>
    <outlinePr summaryBelow="0" summaryRight="0"/>
  </sheetPr>
  <dimension ref="A1:K40"/>
  <sheetViews>
    <sheetView workbookViewId="0">
      <selection activeCell="E23" sqref="E23"/>
    </sheetView>
  </sheetViews>
  <sheetFormatPr baseColWidth="10" defaultColWidth="12.6640625" defaultRowHeight="15.75" customHeight="1"/>
  <cols>
    <col min="1" max="16384" width="12.6640625" style="51"/>
  </cols>
  <sheetData>
    <row r="1" spans="1:11" ht="15.75" customHeight="1">
      <c r="A1" s="52"/>
      <c r="B1" s="52" t="s">
        <v>31</v>
      </c>
      <c r="C1" s="52"/>
      <c r="D1" s="52" t="s">
        <v>32</v>
      </c>
      <c r="E1" s="52"/>
      <c r="H1" s="52" t="s">
        <v>33</v>
      </c>
      <c r="K1" s="52"/>
    </row>
    <row r="2" spans="1:11" ht="15.75" customHeight="1">
      <c r="A2" s="52" t="s">
        <v>34</v>
      </c>
      <c r="B2" s="52" t="s">
        <v>35</v>
      </c>
      <c r="C2" s="52" t="s">
        <v>36</v>
      </c>
      <c r="D2" s="52" t="s">
        <v>35</v>
      </c>
      <c r="E2" s="52" t="s">
        <v>36</v>
      </c>
      <c r="H2" s="52" t="s">
        <v>34</v>
      </c>
      <c r="I2" s="52" t="s">
        <v>31</v>
      </c>
      <c r="J2" s="52" t="s">
        <v>32</v>
      </c>
    </row>
    <row r="3" spans="1:11" ht="15.75" customHeight="1">
      <c r="A3" s="53" t="s">
        <v>37</v>
      </c>
      <c r="B3" s="53">
        <v>0.46400000000000002</v>
      </c>
      <c r="C3" s="53">
        <f>B3/3</f>
        <v>0.15466666666666667</v>
      </c>
      <c r="D3" s="53">
        <v>3.6999999999999998E-2</v>
      </c>
      <c r="E3" s="53">
        <f>D3/3</f>
        <v>1.2333333333333333E-2</v>
      </c>
      <c r="H3" s="53">
        <v>0</v>
      </c>
      <c r="I3" s="53">
        <v>0.14366666666666669</v>
      </c>
      <c r="J3" s="53">
        <v>0.14199999999999999</v>
      </c>
    </row>
    <row r="4" spans="1:11" ht="15.75" customHeight="1">
      <c r="A4" s="53" t="s">
        <v>38</v>
      </c>
      <c r="B4" s="53">
        <v>0.495</v>
      </c>
      <c r="C4" s="53">
        <f t="shared" ref="C4:C38" si="0">(B4-B3)/3</f>
        <v>1.0333333333333325E-2</v>
      </c>
      <c r="D4" s="53">
        <v>5.8000000000000003E-2</v>
      </c>
      <c r="E4" s="53">
        <f t="shared" ref="E4:E38" si="1">(D4-D3)/3</f>
        <v>7.0000000000000019E-3</v>
      </c>
      <c r="H4" s="53">
        <v>1</v>
      </c>
      <c r="I4" s="53">
        <v>7.0333333333333317E-2</v>
      </c>
      <c r="J4" s="53">
        <v>0.12133333333333333</v>
      </c>
    </row>
    <row r="5" spans="1:11" ht="15.75" customHeight="1">
      <c r="A5" s="53">
        <v>0</v>
      </c>
      <c r="B5" s="53">
        <v>0.92600000000000005</v>
      </c>
      <c r="C5" s="53">
        <f t="shared" si="0"/>
        <v>0.14366666666666669</v>
      </c>
      <c r="D5" s="53">
        <v>0.48399999999999999</v>
      </c>
      <c r="E5" s="53">
        <f t="shared" si="1"/>
        <v>0.14199999999999999</v>
      </c>
      <c r="H5" s="53">
        <v>2</v>
      </c>
      <c r="I5" s="53">
        <v>0.24133333333333332</v>
      </c>
      <c r="J5" s="53">
        <v>0.33233333333333331</v>
      </c>
    </row>
    <row r="6" spans="1:11" ht="15.75" customHeight="1">
      <c r="A6" s="53">
        <v>1</v>
      </c>
      <c r="B6" s="53">
        <v>1.137</v>
      </c>
      <c r="C6" s="53">
        <f t="shared" si="0"/>
        <v>7.0333333333333317E-2</v>
      </c>
      <c r="D6" s="53">
        <v>0.84799999999999998</v>
      </c>
      <c r="E6" s="53">
        <f t="shared" si="1"/>
        <v>0.12133333333333333</v>
      </c>
      <c r="H6" s="53">
        <v>3</v>
      </c>
      <c r="I6" s="53">
        <v>0.25700000000000006</v>
      </c>
      <c r="J6" s="53">
        <v>0.27866666666666667</v>
      </c>
    </row>
    <row r="7" spans="1:11" ht="15.75" customHeight="1">
      <c r="A7" s="53">
        <v>2</v>
      </c>
      <c r="B7" s="53">
        <v>1.861</v>
      </c>
      <c r="C7" s="53">
        <f t="shared" si="0"/>
        <v>0.24133333333333332</v>
      </c>
      <c r="D7" s="53">
        <v>1.845</v>
      </c>
      <c r="E7" s="53">
        <f t="shared" si="1"/>
        <v>0.33233333333333331</v>
      </c>
      <c r="H7" s="53">
        <v>4</v>
      </c>
      <c r="I7" s="53">
        <v>0.21433333333333326</v>
      </c>
      <c r="J7" s="53">
        <v>0.27</v>
      </c>
    </row>
    <row r="8" spans="1:11" ht="15.75" customHeight="1">
      <c r="A8" s="53">
        <v>3</v>
      </c>
      <c r="B8" s="53">
        <v>2.6320000000000001</v>
      </c>
      <c r="C8" s="53">
        <f t="shared" si="0"/>
        <v>0.25700000000000006</v>
      </c>
      <c r="D8" s="53">
        <v>2.681</v>
      </c>
      <c r="E8" s="53">
        <f t="shared" si="1"/>
        <v>0.27866666666666667</v>
      </c>
      <c r="H8" s="53">
        <v>5</v>
      </c>
      <c r="I8" s="53">
        <v>0.22833333333333336</v>
      </c>
      <c r="J8" s="53">
        <v>0.26666666666666677</v>
      </c>
    </row>
    <row r="9" spans="1:11" ht="15.75" customHeight="1">
      <c r="A9" s="53">
        <v>4</v>
      </c>
      <c r="B9" s="53">
        <v>3.2749999999999999</v>
      </c>
      <c r="C9" s="53">
        <f t="shared" si="0"/>
        <v>0.21433333333333326</v>
      </c>
      <c r="D9" s="53">
        <v>3.4910000000000001</v>
      </c>
      <c r="E9" s="53">
        <f t="shared" si="1"/>
        <v>0.27</v>
      </c>
      <c r="H9" s="53">
        <v>6</v>
      </c>
      <c r="I9" s="53">
        <v>0.24899999999999997</v>
      </c>
      <c r="J9" s="53">
        <v>0.45300000000000001</v>
      </c>
    </row>
    <row r="10" spans="1:11" ht="15.75" customHeight="1">
      <c r="A10" s="53">
        <v>5</v>
      </c>
      <c r="B10" s="53">
        <v>3.96</v>
      </c>
      <c r="C10" s="53">
        <f t="shared" si="0"/>
        <v>0.22833333333333336</v>
      </c>
      <c r="D10" s="53">
        <v>4.2910000000000004</v>
      </c>
      <c r="E10" s="53">
        <f t="shared" si="1"/>
        <v>0.26666666666666677</v>
      </c>
      <c r="H10" s="53">
        <v>7</v>
      </c>
      <c r="I10" s="53">
        <v>0.24033333333333337</v>
      </c>
      <c r="J10" s="53">
        <v>0.25800000000000001</v>
      </c>
    </row>
    <row r="11" spans="1:11" ht="15.75" customHeight="1">
      <c r="A11" s="53">
        <v>6</v>
      </c>
      <c r="B11" s="53">
        <v>4.7069999999999999</v>
      </c>
      <c r="C11" s="53">
        <f t="shared" si="0"/>
        <v>0.24899999999999997</v>
      </c>
      <c r="D11" s="53">
        <v>5.65</v>
      </c>
      <c r="E11" s="53">
        <f t="shared" si="1"/>
        <v>0.45300000000000001</v>
      </c>
      <c r="H11" s="53">
        <v>8</v>
      </c>
      <c r="I11" s="53">
        <v>0.22933333333333325</v>
      </c>
      <c r="J11" s="53">
        <v>0.26266666666666644</v>
      </c>
    </row>
    <row r="12" spans="1:11" ht="15.75" customHeight="1">
      <c r="A12" s="53">
        <v>7</v>
      </c>
      <c r="B12" s="53">
        <v>5.4279999999999999</v>
      </c>
      <c r="C12" s="53">
        <f t="shared" si="0"/>
        <v>0.24033333333333337</v>
      </c>
      <c r="D12" s="53">
        <v>6.4240000000000004</v>
      </c>
      <c r="E12" s="53">
        <f t="shared" si="1"/>
        <v>0.25800000000000001</v>
      </c>
      <c r="H12" s="53">
        <v>9</v>
      </c>
      <c r="I12" s="53">
        <v>0.23766666666666669</v>
      </c>
      <c r="J12" s="53">
        <v>0.27766666666666673</v>
      </c>
    </row>
    <row r="13" spans="1:11" ht="15.75" customHeight="1">
      <c r="A13" s="53">
        <v>8</v>
      </c>
      <c r="B13" s="53">
        <v>6.1159999999999997</v>
      </c>
      <c r="C13" s="53">
        <f t="shared" si="0"/>
        <v>0.22933333333333325</v>
      </c>
      <c r="D13" s="53">
        <v>7.2119999999999997</v>
      </c>
      <c r="E13" s="53">
        <f t="shared" si="1"/>
        <v>0.26266666666666644</v>
      </c>
      <c r="H13" s="53">
        <v>10</v>
      </c>
      <c r="I13" s="53">
        <v>0.24233333333333343</v>
      </c>
      <c r="J13" s="53">
        <v>0.27466666666666661</v>
      </c>
    </row>
    <row r="14" spans="1:11" ht="15.75" customHeight="1">
      <c r="A14" s="53">
        <v>9</v>
      </c>
      <c r="B14" s="53">
        <v>6.8289999999999997</v>
      </c>
      <c r="C14" s="53">
        <f t="shared" si="0"/>
        <v>0.23766666666666669</v>
      </c>
      <c r="D14" s="53">
        <v>8.0449999999999999</v>
      </c>
      <c r="E14" s="53">
        <f t="shared" si="1"/>
        <v>0.27766666666666673</v>
      </c>
      <c r="H14" s="53">
        <v>11</v>
      </c>
      <c r="I14" s="53">
        <v>0.26833333333333353</v>
      </c>
      <c r="J14" s="53">
        <v>0.2740000000000003</v>
      </c>
    </row>
    <row r="15" spans="1:11" ht="15.75" customHeight="1">
      <c r="A15" s="53">
        <v>10</v>
      </c>
      <c r="B15" s="53">
        <v>7.556</v>
      </c>
      <c r="C15" s="53">
        <f t="shared" si="0"/>
        <v>0.24233333333333343</v>
      </c>
      <c r="D15" s="53">
        <v>8.8689999999999998</v>
      </c>
      <c r="E15" s="53">
        <f t="shared" si="1"/>
        <v>0.27466666666666661</v>
      </c>
      <c r="H15" s="53">
        <v>12</v>
      </c>
      <c r="I15" s="53">
        <v>0.2673333333333332</v>
      </c>
      <c r="J15" s="53">
        <v>0.34266666666666623</v>
      </c>
    </row>
    <row r="16" spans="1:11" ht="15.75" customHeight="1">
      <c r="A16" s="53">
        <v>11</v>
      </c>
      <c r="B16" s="53">
        <v>8.3610000000000007</v>
      </c>
      <c r="C16" s="53">
        <f t="shared" si="0"/>
        <v>0.26833333333333353</v>
      </c>
      <c r="D16" s="53">
        <v>9.6910000000000007</v>
      </c>
      <c r="E16" s="53">
        <f t="shared" si="1"/>
        <v>0.2740000000000003</v>
      </c>
      <c r="H16" s="53">
        <v>13</v>
      </c>
      <c r="I16" s="53">
        <v>0.34833333333333333</v>
      </c>
      <c r="J16" s="53">
        <v>0.27999999999999997</v>
      </c>
    </row>
    <row r="17" spans="1:10" ht="15.75" customHeight="1">
      <c r="A17" s="53">
        <v>12</v>
      </c>
      <c r="B17" s="53">
        <v>9.1630000000000003</v>
      </c>
      <c r="C17" s="53">
        <f t="shared" si="0"/>
        <v>0.2673333333333332</v>
      </c>
      <c r="D17" s="53">
        <v>10.718999999999999</v>
      </c>
      <c r="E17" s="53">
        <f t="shared" si="1"/>
        <v>0.34266666666666623</v>
      </c>
      <c r="H17" s="53">
        <v>14</v>
      </c>
      <c r="I17" s="53">
        <v>0.25400000000000017</v>
      </c>
      <c r="J17" s="53">
        <v>0.3143333333333338</v>
      </c>
    </row>
    <row r="18" spans="1:10" ht="15.75" customHeight="1">
      <c r="A18" s="53">
        <v>13</v>
      </c>
      <c r="B18" s="53">
        <v>10.208</v>
      </c>
      <c r="C18" s="53">
        <f t="shared" si="0"/>
        <v>0.34833333333333333</v>
      </c>
      <c r="D18" s="53">
        <v>11.558999999999999</v>
      </c>
      <c r="E18" s="53">
        <f t="shared" si="1"/>
        <v>0.27999999999999997</v>
      </c>
      <c r="H18" s="53">
        <v>15</v>
      </c>
      <c r="I18" s="53">
        <v>0.25100000000000006</v>
      </c>
      <c r="J18" s="53">
        <v>0.27033333333333331</v>
      </c>
    </row>
    <row r="19" spans="1:10" ht="15.75" customHeight="1">
      <c r="A19" s="53">
        <v>14</v>
      </c>
      <c r="B19" s="53">
        <v>10.97</v>
      </c>
      <c r="C19" s="53">
        <f t="shared" si="0"/>
        <v>0.25400000000000017</v>
      </c>
      <c r="D19" s="53">
        <v>12.502000000000001</v>
      </c>
      <c r="E19" s="53">
        <f t="shared" si="1"/>
        <v>0.3143333333333338</v>
      </c>
      <c r="H19" s="53">
        <v>16</v>
      </c>
      <c r="I19" s="53">
        <v>0.23566666666666633</v>
      </c>
      <c r="J19" s="53">
        <v>0.26333333333333303</v>
      </c>
    </row>
    <row r="20" spans="1:10" ht="15.75" customHeight="1">
      <c r="A20" s="53">
        <v>15</v>
      </c>
      <c r="B20" s="53">
        <v>11.723000000000001</v>
      </c>
      <c r="C20" s="53">
        <f t="shared" si="0"/>
        <v>0.25100000000000006</v>
      </c>
      <c r="D20" s="53">
        <v>13.313000000000001</v>
      </c>
      <c r="E20" s="53">
        <f t="shared" si="1"/>
        <v>0.27033333333333331</v>
      </c>
      <c r="H20" s="53">
        <v>17</v>
      </c>
      <c r="I20" s="53">
        <v>0.25600000000000023</v>
      </c>
      <c r="J20" s="53">
        <v>0.30233333333333334</v>
      </c>
    </row>
    <row r="21" spans="1:10" ht="15.75" customHeight="1">
      <c r="A21" s="53">
        <v>16</v>
      </c>
      <c r="B21" s="53">
        <v>12.43</v>
      </c>
      <c r="C21" s="53">
        <f t="shared" si="0"/>
        <v>0.23566666666666633</v>
      </c>
      <c r="D21" s="53">
        <v>14.103</v>
      </c>
      <c r="E21" s="53">
        <f t="shared" si="1"/>
        <v>0.26333333333333303</v>
      </c>
      <c r="H21" s="53">
        <v>18</v>
      </c>
      <c r="I21" s="53">
        <v>0.21666666666666679</v>
      </c>
      <c r="J21" s="53">
        <v>0.25733333333333341</v>
      </c>
    </row>
    <row r="22" spans="1:10" ht="15.75" customHeight="1">
      <c r="A22" s="53">
        <v>17</v>
      </c>
      <c r="B22" s="53">
        <v>13.198</v>
      </c>
      <c r="C22" s="53">
        <f t="shared" si="0"/>
        <v>0.25600000000000023</v>
      </c>
      <c r="D22" s="53">
        <v>15.01</v>
      </c>
      <c r="E22" s="53">
        <f t="shared" si="1"/>
        <v>0.30233333333333334</v>
      </c>
      <c r="H22" s="53">
        <v>19</v>
      </c>
      <c r="I22" s="53">
        <v>0.27266666666666656</v>
      </c>
      <c r="J22" s="53">
        <v>0.29699999999999943</v>
      </c>
    </row>
    <row r="23" spans="1:10" ht="15.75" customHeight="1">
      <c r="A23" s="53">
        <v>18</v>
      </c>
      <c r="B23" s="53">
        <v>13.848000000000001</v>
      </c>
      <c r="C23" s="53">
        <f t="shared" si="0"/>
        <v>0.21666666666666679</v>
      </c>
      <c r="D23" s="53">
        <v>15.782</v>
      </c>
      <c r="E23" s="53">
        <f t="shared" si="1"/>
        <v>0.25733333333333341</v>
      </c>
      <c r="H23" s="53">
        <v>20</v>
      </c>
      <c r="I23" s="53">
        <v>0.24833333333333307</v>
      </c>
      <c r="J23" s="53">
        <v>0.33800000000000097</v>
      </c>
    </row>
    <row r="24" spans="1:10" ht="15.75" customHeight="1">
      <c r="A24" s="53">
        <v>19</v>
      </c>
      <c r="B24" s="53">
        <v>14.666</v>
      </c>
      <c r="C24" s="53">
        <f t="shared" si="0"/>
        <v>0.27266666666666656</v>
      </c>
      <c r="D24" s="53">
        <v>16.672999999999998</v>
      </c>
      <c r="E24" s="53">
        <f t="shared" si="1"/>
        <v>0.29699999999999943</v>
      </c>
      <c r="H24" s="53">
        <v>21</v>
      </c>
      <c r="I24" s="53">
        <v>0.26399999999999996</v>
      </c>
      <c r="J24" s="53">
        <v>0.66133333333333277</v>
      </c>
    </row>
    <row r="25" spans="1:10" ht="15.75" customHeight="1">
      <c r="A25" s="53">
        <v>20</v>
      </c>
      <c r="B25" s="53">
        <v>15.411</v>
      </c>
      <c r="C25" s="53">
        <f t="shared" si="0"/>
        <v>0.24833333333333307</v>
      </c>
      <c r="D25" s="53">
        <v>17.687000000000001</v>
      </c>
      <c r="E25" s="53">
        <f t="shared" si="1"/>
        <v>0.33800000000000097</v>
      </c>
      <c r="H25" s="53">
        <v>22</v>
      </c>
      <c r="I25" s="53">
        <v>0.28266666666666634</v>
      </c>
      <c r="J25" s="53">
        <v>0.28133333333333371</v>
      </c>
    </row>
    <row r="26" spans="1:10" ht="15.75" customHeight="1">
      <c r="A26" s="53">
        <v>21</v>
      </c>
      <c r="B26" s="53">
        <v>16.202999999999999</v>
      </c>
      <c r="C26" s="53">
        <f t="shared" si="0"/>
        <v>0.26399999999999996</v>
      </c>
      <c r="D26" s="53">
        <v>19.670999999999999</v>
      </c>
      <c r="E26" s="53">
        <f t="shared" si="1"/>
        <v>0.66133333333333277</v>
      </c>
      <c r="H26" s="53">
        <v>23</v>
      </c>
      <c r="I26" s="53">
        <v>0.28133333333333371</v>
      </c>
      <c r="J26" s="53">
        <v>0.27066666666666706</v>
      </c>
    </row>
    <row r="27" spans="1:10" ht="15.75" customHeight="1">
      <c r="A27" s="53">
        <v>22</v>
      </c>
      <c r="B27" s="53">
        <v>17.050999999999998</v>
      </c>
      <c r="C27" s="53">
        <f t="shared" si="0"/>
        <v>0.28266666666666634</v>
      </c>
      <c r="D27" s="53">
        <v>20.515000000000001</v>
      </c>
      <c r="E27" s="53">
        <f t="shared" si="1"/>
        <v>0.28133333333333371</v>
      </c>
      <c r="H27" s="53">
        <v>24</v>
      </c>
      <c r="I27" s="53">
        <v>0.26366666666666677</v>
      </c>
      <c r="J27" s="53">
        <v>0.33966666666666612</v>
      </c>
    </row>
    <row r="28" spans="1:10" ht="15.75" customHeight="1">
      <c r="A28" s="53">
        <v>23</v>
      </c>
      <c r="B28" s="53">
        <v>17.895</v>
      </c>
      <c r="C28" s="53">
        <f t="shared" si="0"/>
        <v>0.28133333333333371</v>
      </c>
      <c r="D28" s="53">
        <v>21.327000000000002</v>
      </c>
      <c r="E28" s="53">
        <f t="shared" si="1"/>
        <v>0.27066666666666706</v>
      </c>
      <c r="H28" s="53">
        <v>25</v>
      </c>
      <c r="I28" s="53">
        <v>0.3206666666666666</v>
      </c>
      <c r="J28" s="53">
        <v>0.47000000000000003</v>
      </c>
    </row>
    <row r="29" spans="1:10" ht="15.75" customHeight="1">
      <c r="A29" s="53">
        <v>24</v>
      </c>
      <c r="B29" s="53">
        <v>18.686</v>
      </c>
      <c r="C29" s="53">
        <f t="shared" si="0"/>
        <v>0.26366666666666677</v>
      </c>
      <c r="D29" s="53">
        <v>22.346</v>
      </c>
      <c r="E29" s="53">
        <f t="shared" si="1"/>
        <v>0.33966666666666612</v>
      </c>
      <c r="H29" s="53">
        <v>26</v>
      </c>
      <c r="I29" s="53">
        <v>0.41433333333333283</v>
      </c>
      <c r="J29" s="53">
        <v>0.28566666666666646</v>
      </c>
    </row>
    <row r="30" spans="1:10" ht="15.75" customHeight="1">
      <c r="A30" s="53">
        <v>25</v>
      </c>
      <c r="B30" s="53">
        <v>19.648</v>
      </c>
      <c r="C30" s="53">
        <f t="shared" si="0"/>
        <v>0.3206666666666666</v>
      </c>
      <c r="D30" s="53">
        <v>23.756</v>
      </c>
      <c r="E30" s="53">
        <f t="shared" si="1"/>
        <v>0.47000000000000003</v>
      </c>
      <c r="H30" s="53">
        <v>27</v>
      </c>
      <c r="I30" s="53">
        <v>0.22133333333333383</v>
      </c>
      <c r="J30" s="53">
        <v>0.438</v>
      </c>
    </row>
    <row r="31" spans="1:10" ht="15.75" customHeight="1">
      <c r="A31" s="53">
        <v>26</v>
      </c>
      <c r="B31" s="53">
        <v>20.890999999999998</v>
      </c>
      <c r="C31" s="53">
        <f t="shared" si="0"/>
        <v>0.41433333333333283</v>
      </c>
      <c r="D31" s="53">
        <v>24.613</v>
      </c>
      <c r="E31" s="53">
        <f t="shared" si="1"/>
        <v>0.28566666666666646</v>
      </c>
      <c r="H31" s="53">
        <v>28</v>
      </c>
      <c r="I31" s="53">
        <v>0.22700000000000031</v>
      </c>
      <c r="J31" s="53">
        <v>0.26600000000000062</v>
      </c>
    </row>
    <row r="32" spans="1:10" ht="15.75" customHeight="1">
      <c r="A32" s="53">
        <v>27</v>
      </c>
      <c r="B32" s="53">
        <v>21.555</v>
      </c>
      <c r="C32" s="53">
        <f t="shared" si="0"/>
        <v>0.22133333333333383</v>
      </c>
      <c r="D32" s="53">
        <v>25.927</v>
      </c>
      <c r="E32" s="53">
        <f t="shared" si="1"/>
        <v>0.438</v>
      </c>
      <c r="H32" s="53">
        <v>29</v>
      </c>
      <c r="I32" s="53">
        <v>0.26433333333333309</v>
      </c>
      <c r="J32" s="53">
        <v>0.24099999999999966</v>
      </c>
    </row>
    <row r="33" spans="1:10" ht="15.75" customHeight="1">
      <c r="A33" s="53">
        <v>28</v>
      </c>
      <c r="B33" s="53">
        <v>22.236000000000001</v>
      </c>
      <c r="C33" s="53">
        <f t="shared" si="0"/>
        <v>0.22700000000000031</v>
      </c>
      <c r="D33" s="53">
        <v>26.725000000000001</v>
      </c>
      <c r="E33" s="53">
        <f t="shared" si="1"/>
        <v>0.26600000000000062</v>
      </c>
      <c r="H33" s="53">
        <v>30</v>
      </c>
      <c r="I33" s="53">
        <v>0.2573333333333328</v>
      </c>
      <c r="J33" s="53">
        <v>0.24199999999999969</v>
      </c>
    </row>
    <row r="34" spans="1:10" ht="15.75" customHeight="1">
      <c r="A34" s="53">
        <v>29</v>
      </c>
      <c r="B34" s="53">
        <v>23.029</v>
      </c>
      <c r="C34" s="53">
        <f t="shared" si="0"/>
        <v>0.26433333333333309</v>
      </c>
      <c r="D34" s="53">
        <v>27.448</v>
      </c>
      <c r="E34" s="53">
        <f t="shared" si="1"/>
        <v>0.24099999999999966</v>
      </c>
      <c r="H34" s="53">
        <v>31</v>
      </c>
      <c r="I34" s="53">
        <v>0.28033333333333371</v>
      </c>
      <c r="J34" s="53">
        <v>0.2586666666666666</v>
      </c>
    </row>
    <row r="35" spans="1:10" ht="15.75" customHeight="1">
      <c r="A35" s="53">
        <v>30</v>
      </c>
      <c r="B35" s="53">
        <v>23.800999999999998</v>
      </c>
      <c r="C35" s="53">
        <f t="shared" si="0"/>
        <v>0.2573333333333328</v>
      </c>
      <c r="D35" s="53">
        <v>28.173999999999999</v>
      </c>
      <c r="E35" s="53">
        <f t="shared" si="1"/>
        <v>0.24199999999999969</v>
      </c>
    </row>
    <row r="36" spans="1:10" ht="15.75" customHeight="1">
      <c r="A36" s="53">
        <v>31</v>
      </c>
      <c r="B36" s="53">
        <v>24.641999999999999</v>
      </c>
      <c r="C36" s="53">
        <f t="shared" si="0"/>
        <v>0.28033333333333371</v>
      </c>
      <c r="D36" s="53">
        <v>28.95</v>
      </c>
      <c r="E36" s="53">
        <f t="shared" si="1"/>
        <v>0.2586666666666666</v>
      </c>
    </row>
    <row r="37" spans="1:10" ht="15.75" customHeight="1">
      <c r="A37" s="53" t="s">
        <v>39</v>
      </c>
      <c r="B37" s="53">
        <v>25.5</v>
      </c>
      <c r="C37" s="53">
        <f t="shared" si="0"/>
        <v>0.2860000000000002</v>
      </c>
      <c r="D37" s="53">
        <v>29.837</v>
      </c>
      <c r="E37" s="53">
        <f t="shared" si="1"/>
        <v>0.2956666666666668</v>
      </c>
    </row>
    <row r="38" spans="1:10" ht="15.75" customHeight="1">
      <c r="A38" s="53" t="s">
        <v>40</v>
      </c>
      <c r="B38" s="53">
        <v>25.5535</v>
      </c>
      <c r="C38" s="53">
        <f t="shared" si="0"/>
        <v>1.7833333333333218E-2</v>
      </c>
      <c r="D38" s="53">
        <v>29.873000000000001</v>
      </c>
      <c r="E38" s="53">
        <f t="shared" si="1"/>
        <v>1.2000000000000455E-2</v>
      </c>
    </row>
    <row r="40" spans="1:10" ht="15.75" customHeight="1">
      <c r="A40" s="52" t="s">
        <v>41</v>
      </c>
      <c r="B40" s="52"/>
      <c r="C40" s="52">
        <f>SUM(C4:C38)</f>
        <v>8.3631666666666646</v>
      </c>
      <c r="D40" s="52"/>
      <c r="E40" s="52">
        <f>SUM(E4:E38)</f>
        <v>9.945333333333334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"/>
  <sheetViews>
    <sheetView workbookViewId="0">
      <selection activeCell="A3" sqref="A3"/>
    </sheetView>
  </sheetViews>
  <sheetFormatPr baseColWidth="10" defaultColWidth="12.6640625" defaultRowHeight="15.75" customHeight="1"/>
  <sheetData>
    <row r="1" spans="1:3" ht="13">
      <c r="B1" s="62" t="s">
        <v>42</v>
      </c>
      <c r="C1" s="63" t="s">
        <v>43</v>
      </c>
    </row>
    <row r="2" spans="1:3" ht="13">
      <c r="B2" s="63"/>
      <c r="C2" s="63"/>
    </row>
    <row r="3" spans="1:3" ht="13">
      <c r="A3" s="57" t="s">
        <v>44</v>
      </c>
      <c r="B3" s="63"/>
      <c r="C3" s="63"/>
    </row>
    <row r="4" spans="1:3" ht="13">
      <c r="A4" s="57" t="s">
        <v>45</v>
      </c>
      <c r="B4" s="1">
        <v>0</v>
      </c>
      <c r="C4" s="1">
        <v>0</v>
      </c>
    </row>
    <row r="5" spans="1:3" ht="13">
      <c r="A5" s="57" t="s">
        <v>46</v>
      </c>
      <c r="B5" s="1">
        <v>3.5999999999999997E-2</v>
      </c>
      <c r="C5" s="1">
        <f t="shared" ref="C5:C38" si="0">B5-B4</f>
        <v>3.5999999999999997E-2</v>
      </c>
    </row>
    <row r="6" spans="1:3" ht="13">
      <c r="A6" s="57" t="s">
        <v>47</v>
      </c>
      <c r="B6" s="1">
        <v>0.121</v>
      </c>
      <c r="C6" s="1">
        <f t="shared" si="0"/>
        <v>8.4999999999999992E-2</v>
      </c>
    </row>
    <row r="7" spans="1:3" ht="13">
      <c r="A7" s="57" t="s">
        <v>48</v>
      </c>
      <c r="B7" s="1">
        <v>0.22</v>
      </c>
      <c r="C7" s="1">
        <f t="shared" si="0"/>
        <v>9.9000000000000005E-2</v>
      </c>
    </row>
    <row r="8" spans="1:3" ht="13">
      <c r="A8" s="2">
        <v>45659</v>
      </c>
      <c r="B8" s="1">
        <v>0.44</v>
      </c>
      <c r="C8" s="1">
        <f t="shared" si="0"/>
        <v>0.22</v>
      </c>
    </row>
    <row r="9" spans="1:3" ht="13">
      <c r="A9" s="2">
        <v>45691</v>
      </c>
      <c r="B9" s="1">
        <v>0.66500000000000004</v>
      </c>
      <c r="C9" s="1">
        <f t="shared" si="0"/>
        <v>0.22500000000000003</v>
      </c>
    </row>
    <row r="10" spans="1:3" ht="13">
      <c r="A10" s="2">
        <v>45720</v>
      </c>
      <c r="B10" s="1">
        <v>0.89400000000000002</v>
      </c>
      <c r="C10" s="1">
        <f t="shared" si="0"/>
        <v>0.22899999999999998</v>
      </c>
    </row>
    <row r="11" spans="1:3" ht="13">
      <c r="A11" s="2">
        <v>45752</v>
      </c>
      <c r="B11" s="1">
        <v>1.1259999999999999</v>
      </c>
      <c r="C11" s="1">
        <f t="shared" si="0"/>
        <v>0.23199999999999987</v>
      </c>
    </row>
    <row r="12" spans="1:3" ht="13">
      <c r="A12" s="2">
        <v>45783</v>
      </c>
      <c r="B12" s="1">
        <v>1.3959999999999999</v>
      </c>
      <c r="C12" s="1">
        <f t="shared" si="0"/>
        <v>0.27</v>
      </c>
    </row>
    <row r="13" spans="1:3" ht="13">
      <c r="A13" s="2">
        <v>45815</v>
      </c>
      <c r="B13" s="1">
        <v>1.647</v>
      </c>
      <c r="C13" s="1">
        <f t="shared" si="0"/>
        <v>0.25100000000000011</v>
      </c>
    </row>
    <row r="14" spans="1:3" ht="13">
      <c r="A14" s="2">
        <v>45846</v>
      </c>
      <c r="B14" s="1">
        <v>1.843</v>
      </c>
      <c r="C14" s="1">
        <f t="shared" si="0"/>
        <v>0.19599999999999995</v>
      </c>
    </row>
    <row r="15" spans="1:3" ht="13">
      <c r="A15" s="2">
        <v>45878</v>
      </c>
      <c r="B15" s="1">
        <v>2.0779999999999998</v>
      </c>
      <c r="C15" s="1">
        <f t="shared" si="0"/>
        <v>0.23499999999999988</v>
      </c>
    </row>
    <row r="16" spans="1:3" ht="13">
      <c r="A16" s="2">
        <v>45910</v>
      </c>
      <c r="B16" s="1">
        <v>2.3220000000000001</v>
      </c>
      <c r="C16" s="1">
        <f t="shared" si="0"/>
        <v>0.24400000000000022</v>
      </c>
    </row>
    <row r="17" spans="1:3" ht="13">
      <c r="A17" s="2">
        <v>45941</v>
      </c>
      <c r="B17" s="1">
        <v>2.5590000000000002</v>
      </c>
      <c r="C17" s="1">
        <f t="shared" si="0"/>
        <v>0.2370000000000001</v>
      </c>
    </row>
    <row r="18" spans="1:3" ht="13">
      <c r="A18" s="2">
        <v>45973</v>
      </c>
      <c r="B18" s="1">
        <v>2.8069999999999999</v>
      </c>
      <c r="C18" s="1">
        <f t="shared" si="0"/>
        <v>0.24799999999999978</v>
      </c>
    </row>
    <row r="19" spans="1:3" ht="13">
      <c r="A19" s="2">
        <v>46004</v>
      </c>
      <c r="B19" s="1">
        <v>3.0489999999999999</v>
      </c>
      <c r="C19" s="1">
        <f t="shared" si="0"/>
        <v>0.24199999999999999</v>
      </c>
    </row>
    <row r="20" spans="1:3" ht="13">
      <c r="A20" s="57" t="s">
        <v>49</v>
      </c>
      <c r="B20" s="1">
        <v>3.2890000000000001</v>
      </c>
      <c r="C20" s="1">
        <f t="shared" si="0"/>
        <v>0.24000000000000021</v>
      </c>
    </row>
    <row r="21" spans="1:3" ht="13">
      <c r="A21" s="57" t="s">
        <v>50</v>
      </c>
      <c r="B21" s="1">
        <v>3.516</v>
      </c>
      <c r="C21" s="1">
        <f t="shared" si="0"/>
        <v>0.22699999999999987</v>
      </c>
    </row>
    <row r="22" spans="1:3" ht="13">
      <c r="A22" s="57" t="s">
        <v>51</v>
      </c>
      <c r="B22" s="1">
        <v>3.7170000000000001</v>
      </c>
      <c r="C22" s="1">
        <f t="shared" si="0"/>
        <v>0.20100000000000007</v>
      </c>
    </row>
    <row r="23" spans="1:3" ht="13">
      <c r="A23" s="57" t="s">
        <v>52</v>
      </c>
      <c r="B23" s="1">
        <v>3.9740000000000002</v>
      </c>
      <c r="C23" s="1">
        <f t="shared" si="0"/>
        <v>0.25700000000000012</v>
      </c>
    </row>
    <row r="24" spans="1:3" ht="13">
      <c r="A24" s="57" t="s">
        <v>53</v>
      </c>
      <c r="B24" s="1">
        <v>4.2060000000000004</v>
      </c>
      <c r="C24" s="1">
        <f t="shared" si="0"/>
        <v>0.23200000000000021</v>
      </c>
    </row>
    <row r="25" spans="1:3" ht="13">
      <c r="A25" s="57" t="s">
        <v>54</v>
      </c>
      <c r="B25" s="1">
        <v>4.4619999999999997</v>
      </c>
      <c r="C25" s="1">
        <f t="shared" si="0"/>
        <v>0.25599999999999934</v>
      </c>
    </row>
    <row r="26" spans="1:3" ht="13">
      <c r="A26" s="57" t="s">
        <v>55</v>
      </c>
      <c r="B26" s="1">
        <v>4.7370000000000001</v>
      </c>
      <c r="C26" s="1">
        <f t="shared" si="0"/>
        <v>0.27500000000000036</v>
      </c>
    </row>
    <row r="27" spans="1:3" ht="13">
      <c r="A27" s="57" t="s">
        <v>56</v>
      </c>
      <c r="B27" s="1">
        <v>5.0789999999999997</v>
      </c>
      <c r="C27" s="1">
        <f t="shared" si="0"/>
        <v>0.34199999999999964</v>
      </c>
    </row>
    <row r="28" spans="1:3" ht="13">
      <c r="A28" s="57" t="s">
        <v>57</v>
      </c>
      <c r="B28" s="1">
        <v>5.3339999999999996</v>
      </c>
      <c r="C28" s="1">
        <f t="shared" si="0"/>
        <v>0.25499999999999989</v>
      </c>
    </row>
    <row r="29" spans="1:3" ht="13">
      <c r="A29" s="57" t="s">
        <v>58</v>
      </c>
      <c r="B29" s="1">
        <v>5.5730000000000004</v>
      </c>
      <c r="C29" s="1">
        <f t="shared" si="0"/>
        <v>0.23900000000000077</v>
      </c>
    </row>
    <row r="30" spans="1:3" ht="13">
      <c r="A30" s="57" t="s">
        <v>59</v>
      </c>
      <c r="B30" s="1">
        <v>5.8129999999999997</v>
      </c>
      <c r="C30" s="1">
        <f t="shared" si="0"/>
        <v>0.23999999999999932</v>
      </c>
    </row>
    <row r="31" spans="1:3" ht="13">
      <c r="A31" s="57" t="s">
        <v>60</v>
      </c>
      <c r="B31" s="1">
        <v>6.0289999999999999</v>
      </c>
      <c r="C31" s="1">
        <f t="shared" si="0"/>
        <v>0.21600000000000019</v>
      </c>
    </row>
    <row r="32" spans="1:3" ht="13">
      <c r="A32" s="57" t="s">
        <v>61</v>
      </c>
      <c r="B32" s="1">
        <v>6.31</v>
      </c>
      <c r="C32" s="1">
        <f t="shared" si="0"/>
        <v>0.28099999999999969</v>
      </c>
    </row>
    <row r="33" spans="1:7" ht="13">
      <c r="A33" s="57" t="s">
        <v>62</v>
      </c>
      <c r="B33" s="1">
        <v>6.61</v>
      </c>
      <c r="C33" s="1">
        <f t="shared" si="0"/>
        <v>0.30000000000000071</v>
      </c>
    </row>
    <row r="34" spans="1:7" ht="13">
      <c r="A34" s="57" t="s">
        <v>63</v>
      </c>
      <c r="B34" s="1">
        <v>6.8789999999999996</v>
      </c>
      <c r="C34" s="1">
        <f t="shared" si="0"/>
        <v>0.26899999999999924</v>
      </c>
    </row>
    <row r="35" spans="1:7" ht="13">
      <c r="A35" s="57" t="s">
        <v>64</v>
      </c>
      <c r="B35" s="1">
        <v>7.1619999999999999</v>
      </c>
      <c r="C35" s="1">
        <f t="shared" si="0"/>
        <v>0.28300000000000036</v>
      </c>
    </row>
    <row r="36" spans="1:7" ht="13">
      <c r="A36" s="57" t="s">
        <v>65</v>
      </c>
      <c r="B36" s="1">
        <v>7.4560000000000004</v>
      </c>
      <c r="C36" s="1">
        <f t="shared" si="0"/>
        <v>0.29400000000000048</v>
      </c>
    </row>
    <row r="37" spans="1:7" ht="15.75" customHeight="1">
      <c r="A37" s="57" t="s">
        <v>66</v>
      </c>
      <c r="B37" s="1">
        <v>7.7149999999999999</v>
      </c>
      <c r="C37" s="1">
        <f t="shared" si="0"/>
        <v>0.25899999999999945</v>
      </c>
    </row>
    <row r="38" spans="1:7" ht="13">
      <c r="A38" s="57" t="s">
        <v>67</v>
      </c>
      <c r="B38" s="1">
        <v>7.7290000000000001</v>
      </c>
      <c r="C38" s="1">
        <f t="shared" si="0"/>
        <v>1.4000000000000234E-2</v>
      </c>
    </row>
    <row r="39" spans="1:7" ht="13"/>
    <row r="40" spans="1:7" ht="13"/>
    <row r="41" spans="1:7" ht="13">
      <c r="D41" s="63" t="s">
        <v>68</v>
      </c>
    </row>
    <row r="42" spans="1:7" ht="13">
      <c r="D42" s="63"/>
    </row>
    <row r="43" spans="1:7" ht="13">
      <c r="D43" s="63"/>
    </row>
    <row r="44" spans="1:7" ht="15.75" customHeight="1">
      <c r="D44" s="63"/>
    </row>
    <row r="45" spans="1:7" ht="15.75" customHeight="1">
      <c r="D45" s="63"/>
      <c r="E45" s="60" t="s">
        <v>69</v>
      </c>
      <c r="F45" s="4" t="s">
        <v>70</v>
      </c>
      <c r="G45" s="4" t="s">
        <v>71</v>
      </c>
    </row>
    <row r="46" spans="1:7" ht="15.75" customHeight="1">
      <c r="D46" s="5" t="s">
        <v>72</v>
      </c>
      <c r="E46" s="1">
        <v>0.19600000000000001</v>
      </c>
      <c r="F46" s="1">
        <v>0.191</v>
      </c>
      <c r="G46" s="4">
        <v>0.191</v>
      </c>
    </row>
    <row r="47" spans="1:7" ht="15.75" customHeight="1">
      <c r="D47" s="5" t="s">
        <v>73</v>
      </c>
      <c r="E47" s="1">
        <v>0.24983333329999999</v>
      </c>
      <c r="F47" s="1">
        <v>0.2356666667</v>
      </c>
      <c r="G47" s="4">
        <f t="shared" ref="G47:G49" si="1">AVERAGE(E47:F47)</f>
        <v>0.24274999999999999</v>
      </c>
    </row>
    <row r="48" spans="1:7" ht="15.75" customHeight="1">
      <c r="D48" s="5" t="s">
        <v>74</v>
      </c>
      <c r="E48" s="1">
        <v>0.246</v>
      </c>
      <c r="F48" s="1">
        <v>0.23250000000000001</v>
      </c>
      <c r="G48" s="4">
        <f t="shared" si="1"/>
        <v>0.23925000000000002</v>
      </c>
    </row>
    <row r="49" spans="4:7" ht="15.75" customHeight="1">
      <c r="D49" s="3" t="s">
        <v>75</v>
      </c>
      <c r="E49" s="1">
        <v>5.4337995219999997E-2</v>
      </c>
      <c r="F49" s="1">
        <v>2.0272851450000001E-2</v>
      </c>
      <c r="G49" s="4">
        <f t="shared" si="1"/>
        <v>3.7305423334999997E-2</v>
      </c>
    </row>
    <row r="50" spans="4:7" ht="15.75" customHeight="1">
      <c r="D50" s="5" t="s">
        <v>76</v>
      </c>
      <c r="E50" s="1">
        <v>0.34200000000000003</v>
      </c>
      <c r="F50" s="1">
        <v>0.28499999999999998</v>
      </c>
      <c r="G50" s="4">
        <v>0.34200000000000003</v>
      </c>
    </row>
  </sheetData>
  <mergeCells count="3">
    <mergeCell ref="B1:B3"/>
    <mergeCell ref="C1:C3"/>
    <mergeCell ref="D41:D4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5"/>
  <sheetViews>
    <sheetView workbookViewId="0">
      <selection activeCell="B40" sqref="B40"/>
    </sheetView>
  </sheetViews>
  <sheetFormatPr baseColWidth="10" defaultColWidth="12.6640625" defaultRowHeight="15.75" customHeight="1"/>
  <sheetData>
    <row r="1" spans="1:3" ht="13">
      <c r="A1" s="57" t="s">
        <v>77</v>
      </c>
      <c r="B1" s="64" t="s">
        <v>42</v>
      </c>
      <c r="C1" s="64" t="s">
        <v>78</v>
      </c>
    </row>
    <row r="2" spans="1:3" ht="13">
      <c r="B2" s="63"/>
      <c r="C2" s="63"/>
    </row>
    <row r="3" spans="1:3" ht="13">
      <c r="B3" s="63"/>
      <c r="C3" s="63"/>
    </row>
    <row r="4" spans="1:3" ht="13">
      <c r="A4" s="57" t="s">
        <v>45</v>
      </c>
      <c r="B4" s="1">
        <v>0</v>
      </c>
      <c r="C4" s="57"/>
    </row>
    <row r="5" spans="1:3" ht="13">
      <c r="A5" s="57" t="s">
        <v>46</v>
      </c>
      <c r="B5" s="1">
        <v>3.5999999999999997E-2</v>
      </c>
      <c r="C5" s="1">
        <f t="shared" ref="C5:C38" si="0">B5-B4</f>
        <v>3.5999999999999997E-2</v>
      </c>
    </row>
    <row r="6" spans="1:3" ht="13">
      <c r="A6" s="57" t="s">
        <v>47</v>
      </c>
      <c r="B6" s="1">
        <v>0.157</v>
      </c>
      <c r="C6" s="1">
        <f t="shared" si="0"/>
        <v>0.121</v>
      </c>
    </row>
    <row r="7" spans="1:3" ht="13">
      <c r="A7" s="57" t="s">
        <v>48</v>
      </c>
      <c r="B7" s="1">
        <v>0.26100000000000001</v>
      </c>
      <c r="C7" s="1">
        <f t="shared" si="0"/>
        <v>0.10400000000000001</v>
      </c>
    </row>
    <row r="8" spans="1:3" ht="13">
      <c r="A8" s="2">
        <v>45659</v>
      </c>
      <c r="B8" s="1">
        <v>0.51500000000000001</v>
      </c>
      <c r="C8" s="1">
        <f t="shared" si="0"/>
        <v>0.254</v>
      </c>
    </row>
    <row r="9" spans="1:3" ht="13">
      <c r="A9" s="2">
        <v>45691</v>
      </c>
      <c r="B9" s="1">
        <v>0.75900000000000001</v>
      </c>
      <c r="C9" s="1">
        <f t="shared" si="0"/>
        <v>0.24399999999999999</v>
      </c>
    </row>
    <row r="10" spans="1:3" ht="13">
      <c r="A10" s="2">
        <v>45720</v>
      </c>
      <c r="B10" s="1">
        <v>0.99099999999999999</v>
      </c>
      <c r="C10" s="1">
        <f t="shared" si="0"/>
        <v>0.23199999999999998</v>
      </c>
    </row>
    <row r="11" spans="1:3" ht="13">
      <c r="A11" s="2">
        <v>45752</v>
      </c>
      <c r="B11" s="1">
        <v>1.2490000000000001</v>
      </c>
      <c r="C11" s="1">
        <f t="shared" si="0"/>
        <v>0.25800000000000012</v>
      </c>
    </row>
    <row r="12" spans="1:3" ht="13">
      <c r="A12" s="2">
        <v>45783</v>
      </c>
      <c r="B12" s="1">
        <v>1.4770000000000001</v>
      </c>
      <c r="C12" s="1">
        <f t="shared" si="0"/>
        <v>0.22799999999999998</v>
      </c>
    </row>
    <row r="13" spans="1:3" ht="13">
      <c r="A13" s="2">
        <v>45815</v>
      </c>
      <c r="B13" s="1">
        <v>1.694</v>
      </c>
      <c r="C13" s="1">
        <f t="shared" si="0"/>
        <v>0.21699999999999986</v>
      </c>
    </row>
    <row r="14" spans="1:3" ht="13">
      <c r="A14" s="2">
        <v>45846</v>
      </c>
      <c r="B14" s="1">
        <v>1.9139999999999999</v>
      </c>
      <c r="C14" s="1">
        <f t="shared" si="0"/>
        <v>0.21999999999999997</v>
      </c>
    </row>
    <row r="15" spans="1:3" ht="13">
      <c r="A15" s="2">
        <v>45878</v>
      </c>
      <c r="B15" s="1">
        <v>2.117</v>
      </c>
      <c r="C15" s="1">
        <f t="shared" si="0"/>
        <v>0.20300000000000007</v>
      </c>
    </row>
    <row r="16" spans="1:3" ht="13">
      <c r="A16" s="2">
        <v>45910</v>
      </c>
      <c r="B16" s="1">
        <v>2.3220000000000001</v>
      </c>
      <c r="C16" s="1">
        <f t="shared" si="0"/>
        <v>0.20500000000000007</v>
      </c>
    </row>
    <row r="17" spans="1:3" ht="13">
      <c r="A17" s="2">
        <v>45941</v>
      </c>
      <c r="B17" s="1">
        <v>2.5489999999999999</v>
      </c>
      <c r="C17" s="1">
        <f t="shared" si="0"/>
        <v>0.22699999999999987</v>
      </c>
    </row>
    <row r="18" spans="1:3" ht="13">
      <c r="A18" s="2">
        <v>45973</v>
      </c>
      <c r="B18" s="1">
        <v>2.782</v>
      </c>
      <c r="C18" s="1">
        <f t="shared" si="0"/>
        <v>0.2330000000000001</v>
      </c>
    </row>
    <row r="19" spans="1:3" ht="13">
      <c r="A19" s="2">
        <v>46004</v>
      </c>
      <c r="B19" s="1">
        <v>3.0329999999999999</v>
      </c>
      <c r="C19" s="1">
        <f t="shared" si="0"/>
        <v>0.25099999999999989</v>
      </c>
    </row>
    <row r="20" spans="1:3" ht="13">
      <c r="A20" s="57" t="s">
        <v>49</v>
      </c>
      <c r="B20" s="1">
        <v>3.2610000000000001</v>
      </c>
      <c r="C20" s="1">
        <f t="shared" si="0"/>
        <v>0.2280000000000002</v>
      </c>
    </row>
    <row r="21" spans="1:3" ht="13">
      <c r="A21" s="57" t="s">
        <v>50</v>
      </c>
      <c r="B21" s="1">
        <v>3.4940000000000002</v>
      </c>
      <c r="C21" s="1">
        <f t="shared" si="0"/>
        <v>0.2330000000000001</v>
      </c>
    </row>
    <row r="22" spans="1:3" ht="13">
      <c r="A22" s="57" t="s">
        <v>51</v>
      </c>
      <c r="B22" s="1">
        <v>3.7210000000000001</v>
      </c>
      <c r="C22" s="1">
        <f t="shared" si="0"/>
        <v>0.22699999999999987</v>
      </c>
    </row>
    <row r="23" spans="1:3" ht="13">
      <c r="A23" s="57" t="s">
        <v>52</v>
      </c>
      <c r="B23" s="1">
        <v>3.9119999999999999</v>
      </c>
      <c r="C23" s="1">
        <f t="shared" si="0"/>
        <v>0.19099999999999984</v>
      </c>
    </row>
    <row r="24" spans="1:3" ht="13">
      <c r="A24" s="57" t="s">
        <v>53</v>
      </c>
      <c r="B24" s="1">
        <v>4.141</v>
      </c>
      <c r="C24" s="1">
        <f t="shared" si="0"/>
        <v>0.22900000000000009</v>
      </c>
    </row>
    <row r="25" spans="1:3" ht="13">
      <c r="A25" s="57" t="s">
        <v>54</v>
      </c>
      <c r="B25" s="1">
        <v>4.383</v>
      </c>
      <c r="C25" s="1">
        <f t="shared" si="0"/>
        <v>0.24199999999999999</v>
      </c>
    </row>
    <row r="26" spans="1:3" ht="13">
      <c r="A26" s="57" t="s">
        <v>55</v>
      </c>
      <c r="B26" s="1">
        <v>4.617</v>
      </c>
      <c r="C26" s="1">
        <f t="shared" si="0"/>
        <v>0.23399999999999999</v>
      </c>
    </row>
    <row r="27" spans="1:3" ht="13">
      <c r="A27" s="57" t="s">
        <v>56</v>
      </c>
      <c r="B27" s="1">
        <v>4.8490000000000002</v>
      </c>
      <c r="C27" s="1">
        <f t="shared" si="0"/>
        <v>0.23200000000000021</v>
      </c>
    </row>
    <row r="28" spans="1:3" ht="13">
      <c r="A28" s="57" t="s">
        <v>57</v>
      </c>
      <c r="B28" s="1">
        <v>5.0910000000000002</v>
      </c>
      <c r="C28" s="1">
        <f t="shared" si="0"/>
        <v>0.24199999999999999</v>
      </c>
    </row>
    <row r="29" spans="1:3" ht="13">
      <c r="A29" s="57" t="s">
        <v>58</v>
      </c>
      <c r="B29" s="1">
        <v>5.3029999999999999</v>
      </c>
      <c r="C29" s="1">
        <f t="shared" si="0"/>
        <v>0.21199999999999974</v>
      </c>
    </row>
    <row r="30" spans="1:3" ht="13">
      <c r="A30" s="57" t="s">
        <v>59</v>
      </c>
      <c r="B30" s="1">
        <v>5.5350000000000001</v>
      </c>
      <c r="C30" s="1">
        <f t="shared" si="0"/>
        <v>0.23200000000000021</v>
      </c>
    </row>
    <row r="31" spans="1:3" ht="13">
      <c r="A31" s="57" t="s">
        <v>60</v>
      </c>
      <c r="B31" s="1">
        <v>5.7569999999999997</v>
      </c>
      <c r="C31" s="1">
        <f t="shared" si="0"/>
        <v>0.22199999999999953</v>
      </c>
    </row>
    <row r="32" spans="1:3" ht="13">
      <c r="A32" s="57" t="s">
        <v>61</v>
      </c>
      <c r="B32" s="1">
        <v>6.0419999999999998</v>
      </c>
      <c r="C32" s="1">
        <f t="shared" si="0"/>
        <v>0.28500000000000014</v>
      </c>
    </row>
    <row r="33" spans="1:7" ht="13">
      <c r="A33" s="57" t="s">
        <v>62</v>
      </c>
      <c r="B33" s="1">
        <v>6.3019999999999996</v>
      </c>
      <c r="C33" s="1">
        <f t="shared" si="0"/>
        <v>0.25999999999999979</v>
      </c>
    </row>
    <row r="34" spans="1:7" ht="13">
      <c r="A34" s="57" t="s">
        <v>63</v>
      </c>
      <c r="B34" s="1">
        <v>6.5510000000000002</v>
      </c>
      <c r="C34" s="1">
        <f t="shared" si="0"/>
        <v>0.24900000000000055</v>
      </c>
    </row>
    <row r="35" spans="1:7" ht="13">
      <c r="A35" s="57" t="s">
        <v>64</v>
      </c>
      <c r="B35" s="1">
        <v>6.81</v>
      </c>
      <c r="C35" s="1">
        <f t="shared" si="0"/>
        <v>0.25899999999999945</v>
      </c>
    </row>
    <row r="36" spans="1:7" ht="13">
      <c r="A36" s="57" t="s">
        <v>65</v>
      </c>
      <c r="B36" s="1">
        <v>7.0720000000000001</v>
      </c>
      <c r="C36" s="1">
        <f t="shared" si="0"/>
        <v>0.26200000000000045</v>
      </c>
    </row>
    <row r="37" spans="1:7" ht="15.75" customHeight="1">
      <c r="A37" s="57" t="s">
        <v>66</v>
      </c>
      <c r="B37" s="1">
        <v>7.3310000000000004</v>
      </c>
      <c r="C37" s="1">
        <f t="shared" si="0"/>
        <v>0.25900000000000034</v>
      </c>
    </row>
    <row r="38" spans="1:7" ht="15.75" customHeight="1">
      <c r="A38" s="57" t="s">
        <v>67</v>
      </c>
      <c r="B38" s="1">
        <v>7.4790000000000001</v>
      </c>
      <c r="C38" s="1">
        <f t="shared" si="0"/>
        <v>0.14799999999999969</v>
      </c>
    </row>
    <row r="39" spans="1:7" ht="13"/>
    <row r="40" spans="1:7" ht="70">
      <c r="D40" s="3" t="s">
        <v>68</v>
      </c>
      <c r="E40" s="60" t="s">
        <v>69</v>
      </c>
      <c r="F40" s="4" t="s">
        <v>70</v>
      </c>
      <c r="G40" s="4" t="s">
        <v>71</v>
      </c>
    </row>
    <row r="41" spans="1:7" ht="13">
      <c r="D41" s="5" t="s">
        <v>72</v>
      </c>
      <c r="E41" s="1">
        <v>0.19600000000000001</v>
      </c>
      <c r="F41" s="1">
        <v>0.191</v>
      </c>
      <c r="G41" s="4">
        <v>0.191</v>
      </c>
    </row>
    <row r="42" spans="1:7" ht="13">
      <c r="D42" s="5" t="s">
        <v>73</v>
      </c>
      <c r="E42" s="1">
        <v>0.24983333329999999</v>
      </c>
      <c r="F42" s="1">
        <v>0.2356666667</v>
      </c>
      <c r="G42" s="4">
        <f t="shared" ref="G42:G44" si="1">AVERAGE(E42:F42)</f>
        <v>0.24274999999999999</v>
      </c>
    </row>
    <row r="43" spans="1:7" ht="13">
      <c r="D43" s="5" t="s">
        <v>74</v>
      </c>
      <c r="E43" s="1">
        <v>0.246</v>
      </c>
      <c r="F43" s="1">
        <v>0.23250000000000001</v>
      </c>
      <c r="G43" s="4">
        <f t="shared" si="1"/>
        <v>0.23925000000000002</v>
      </c>
    </row>
    <row r="44" spans="1:7" ht="28">
      <c r="D44" s="3" t="s">
        <v>75</v>
      </c>
      <c r="E44" s="1">
        <v>5.4337995219999997E-2</v>
      </c>
      <c r="F44" s="1">
        <v>2.0272851450000001E-2</v>
      </c>
      <c r="G44" s="4">
        <f t="shared" si="1"/>
        <v>3.7305423334999997E-2</v>
      </c>
    </row>
    <row r="45" spans="1:7" ht="15.75" customHeight="1">
      <c r="D45" s="5" t="s">
        <v>76</v>
      </c>
      <c r="E45" s="1">
        <v>0.34200000000000003</v>
      </c>
      <c r="F45" s="1">
        <v>0.28499999999999998</v>
      </c>
      <c r="G45" s="4">
        <v>0.34200000000000003</v>
      </c>
    </row>
  </sheetData>
  <mergeCells count="2">
    <mergeCell ref="B1:B3"/>
    <mergeCell ref="C1:C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0"/>
  <sheetViews>
    <sheetView topLeftCell="A20" workbookViewId="0">
      <selection activeCell="G73" sqref="G73:G76"/>
    </sheetView>
  </sheetViews>
  <sheetFormatPr baseColWidth="10" defaultColWidth="12.6640625" defaultRowHeight="15.75" customHeight="1"/>
  <sheetData>
    <row r="1" spans="1:4" ht="13">
      <c r="A1" s="64" t="s">
        <v>79</v>
      </c>
      <c r="B1" s="64" t="s">
        <v>80</v>
      </c>
      <c r="C1" s="59"/>
      <c r="D1" s="57"/>
    </row>
    <row r="2" spans="1:4" ht="13">
      <c r="A2" s="63"/>
      <c r="B2" s="63"/>
      <c r="C2" s="1"/>
      <c r="D2" s="1"/>
    </row>
    <row r="3" spans="1:4" ht="13">
      <c r="A3" s="63"/>
      <c r="B3" s="63"/>
      <c r="C3" s="1"/>
      <c r="D3" s="1"/>
    </row>
    <row r="4" spans="1:4" ht="13">
      <c r="C4" s="1"/>
      <c r="D4" s="1"/>
    </row>
    <row r="5" spans="1:4" ht="13">
      <c r="C5" s="1"/>
      <c r="D5" s="1"/>
    </row>
    <row r="6" spans="1:4" ht="13">
      <c r="A6" s="1">
        <v>-74.853799999999993</v>
      </c>
      <c r="B6" s="1">
        <v>126.29</v>
      </c>
      <c r="C6" s="1"/>
      <c r="D6" s="1"/>
    </row>
    <row r="7" spans="1:4" ht="13">
      <c r="A7" s="1">
        <v>-71.678799999999995</v>
      </c>
      <c r="B7" s="1">
        <v>135.66999999999999</v>
      </c>
      <c r="C7" s="1"/>
      <c r="D7" s="1"/>
    </row>
    <row r="8" spans="1:4" ht="13">
      <c r="A8" s="1">
        <v>-68.503799999999998</v>
      </c>
      <c r="B8" s="1">
        <v>146.96</v>
      </c>
      <c r="C8" s="1"/>
      <c r="D8" s="1"/>
    </row>
    <row r="9" spans="1:4" ht="13">
      <c r="A9" s="1">
        <v>-65.328800000000001</v>
      </c>
      <c r="B9" s="1">
        <v>163.47</v>
      </c>
      <c r="C9" s="1"/>
      <c r="D9" s="1"/>
    </row>
    <row r="10" spans="1:4" ht="13">
      <c r="A10" s="1">
        <v>-62.153799999999997</v>
      </c>
      <c r="B10" s="1">
        <v>184.83</v>
      </c>
      <c r="C10" s="1"/>
      <c r="D10" s="1"/>
    </row>
    <row r="11" spans="1:4" ht="13">
      <c r="A11" s="1">
        <v>-58.9788</v>
      </c>
      <c r="B11" s="1">
        <v>200.84</v>
      </c>
      <c r="C11" s="1"/>
      <c r="D11" s="1"/>
    </row>
    <row r="12" spans="1:4" ht="13">
      <c r="A12" s="1">
        <v>-55.803799999999995</v>
      </c>
      <c r="B12" s="1">
        <v>229.51</v>
      </c>
      <c r="C12" s="1"/>
      <c r="D12" s="1"/>
    </row>
    <row r="13" spans="1:4" ht="13">
      <c r="A13" s="1">
        <v>-52.628799999999998</v>
      </c>
      <c r="B13" s="1">
        <v>249.33</v>
      </c>
      <c r="C13" s="1"/>
      <c r="D13" s="1"/>
    </row>
    <row r="14" spans="1:4" ht="13">
      <c r="A14" s="1">
        <v>-49.453800000000001</v>
      </c>
      <c r="B14" s="1">
        <v>269.52999999999997</v>
      </c>
      <c r="C14" s="1"/>
      <c r="D14" s="1"/>
    </row>
    <row r="15" spans="1:4" ht="13">
      <c r="A15" s="1">
        <v>-46.278799999999997</v>
      </c>
      <c r="B15" s="1">
        <v>296.01</v>
      </c>
      <c r="C15" s="1"/>
      <c r="D15" s="1"/>
    </row>
    <row r="16" spans="1:4" ht="13">
      <c r="A16" s="1">
        <v>-43.1038</v>
      </c>
      <c r="B16" s="1">
        <v>323.04000000000002</v>
      </c>
      <c r="C16" s="1"/>
      <c r="D16" s="1"/>
    </row>
    <row r="17" spans="1:4" ht="13">
      <c r="A17" s="1">
        <v>-39.928800000000003</v>
      </c>
      <c r="B17" s="1">
        <v>346.7</v>
      </c>
      <c r="C17" s="1"/>
      <c r="D17" s="1"/>
    </row>
    <row r="18" spans="1:4" ht="13">
      <c r="A18" s="1">
        <v>-36.753799999999998</v>
      </c>
      <c r="B18" s="1">
        <v>367.53</v>
      </c>
      <c r="C18" s="1"/>
      <c r="D18" s="1"/>
    </row>
    <row r="19" spans="1:4" ht="13">
      <c r="A19" s="1">
        <v>-35.1663</v>
      </c>
      <c r="B19" s="1">
        <v>375.06</v>
      </c>
      <c r="C19" s="1"/>
      <c r="D19" s="1"/>
    </row>
    <row r="20" spans="1:4" ht="13">
      <c r="A20" s="1">
        <v>-33.578800000000001</v>
      </c>
      <c r="B20" s="1">
        <v>383.87</v>
      </c>
      <c r="C20" s="1"/>
      <c r="D20" s="1"/>
    </row>
    <row r="21" spans="1:4" ht="13">
      <c r="A21" s="1">
        <v>-31.991299999999999</v>
      </c>
      <c r="B21" s="1">
        <v>390.44</v>
      </c>
      <c r="C21" s="1"/>
      <c r="D21" s="1"/>
    </row>
    <row r="22" spans="1:4" ht="13">
      <c r="A22" s="1">
        <v>-30.4038</v>
      </c>
      <c r="B22" s="1">
        <v>394.05</v>
      </c>
      <c r="C22" s="1"/>
      <c r="D22" s="1"/>
    </row>
    <row r="23" spans="1:4" ht="13">
      <c r="A23" s="1">
        <v>-28.816299999999998</v>
      </c>
      <c r="B23" s="1">
        <v>397.55</v>
      </c>
      <c r="C23" s="1"/>
      <c r="D23" s="1"/>
    </row>
    <row r="24" spans="1:4" ht="13">
      <c r="A24" s="1">
        <v>-27.2288</v>
      </c>
      <c r="B24" s="1">
        <v>404.8</v>
      </c>
      <c r="C24" s="1"/>
      <c r="D24" s="1"/>
    </row>
    <row r="25" spans="1:4" ht="13">
      <c r="A25" s="1">
        <v>-25.641300000000001</v>
      </c>
      <c r="B25" s="1">
        <v>406.91</v>
      </c>
      <c r="C25" s="1"/>
      <c r="D25" s="1"/>
    </row>
    <row r="26" spans="1:4" ht="13">
      <c r="A26" s="1">
        <v>-24.053799999999999</v>
      </c>
      <c r="B26" s="1">
        <v>408.93</v>
      </c>
      <c r="C26" s="1"/>
      <c r="D26" s="1"/>
    </row>
    <row r="27" spans="1:4" ht="13">
      <c r="A27" s="1">
        <v>-22.4663</v>
      </c>
      <c r="B27" s="1">
        <v>410.04</v>
      </c>
      <c r="C27" s="1"/>
      <c r="D27" s="1"/>
    </row>
    <row r="28" spans="1:4" ht="13">
      <c r="A28" s="1">
        <v>-20.878800000000002</v>
      </c>
      <c r="B28" s="1">
        <v>407.14</v>
      </c>
      <c r="C28" s="1"/>
      <c r="D28" s="1"/>
    </row>
    <row r="29" spans="1:4" ht="13">
      <c r="A29" s="1">
        <v>-19.2913</v>
      </c>
      <c r="B29" s="1">
        <v>406.01</v>
      </c>
      <c r="C29" s="1"/>
      <c r="D29" s="1"/>
    </row>
    <row r="30" spans="1:4" ht="13">
      <c r="A30" s="1">
        <v>-17.703800000000001</v>
      </c>
      <c r="B30" s="1">
        <v>403.18</v>
      </c>
      <c r="C30" s="1"/>
      <c r="D30" s="1"/>
    </row>
    <row r="31" spans="1:4" ht="13">
      <c r="A31" s="1">
        <v>-16.116299999999999</v>
      </c>
      <c r="B31" s="1">
        <v>396.48</v>
      </c>
      <c r="C31" s="1"/>
      <c r="D31" s="1"/>
    </row>
    <row r="32" spans="1:4" ht="13">
      <c r="A32" s="1">
        <v>-14.5288</v>
      </c>
      <c r="B32" s="1">
        <v>392.8</v>
      </c>
      <c r="C32" s="1"/>
      <c r="D32" s="1"/>
    </row>
    <row r="33" spans="1:6" ht="13">
      <c r="A33" s="1">
        <v>-12.9413</v>
      </c>
      <c r="B33" s="1">
        <v>380.07</v>
      </c>
      <c r="C33" s="1"/>
      <c r="D33" s="1"/>
    </row>
    <row r="34" spans="1:6" ht="13">
      <c r="A34" s="1">
        <v>-11.353800000000001</v>
      </c>
      <c r="B34" s="1">
        <v>372.77</v>
      </c>
      <c r="C34" s="1"/>
      <c r="D34" s="1"/>
    </row>
    <row r="35" spans="1:6" ht="13">
      <c r="A35" s="1">
        <v>-9.7663000000000011</v>
      </c>
      <c r="B35" s="1">
        <v>362.85</v>
      </c>
      <c r="C35" s="1"/>
      <c r="D35" s="1"/>
    </row>
    <row r="36" spans="1:6" ht="13">
      <c r="A36" s="1">
        <v>-8.1788000000000007</v>
      </c>
      <c r="B36" s="1">
        <v>349.47</v>
      </c>
      <c r="C36" s="1"/>
      <c r="D36" s="1"/>
    </row>
    <row r="37" spans="1:6" ht="13">
      <c r="A37" s="1">
        <v>-6.5913000000000013</v>
      </c>
      <c r="B37" s="1">
        <v>337.49</v>
      </c>
      <c r="C37" s="1"/>
      <c r="D37" s="1"/>
    </row>
    <row r="38" spans="1:6" ht="13">
      <c r="A38" s="1">
        <v>-5.0038000000000009</v>
      </c>
      <c r="B38" s="1">
        <v>327.16000000000003</v>
      </c>
      <c r="C38" s="67" t="s">
        <v>81</v>
      </c>
      <c r="D38" s="68"/>
      <c r="E38" s="68"/>
      <c r="F38" s="68"/>
    </row>
    <row r="39" spans="1:6" ht="13">
      <c r="A39" s="1">
        <v>-3.4163000000000014</v>
      </c>
      <c r="B39" s="1">
        <v>311.56</v>
      </c>
      <c r="C39" s="1"/>
      <c r="D39" s="1"/>
    </row>
    <row r="40" spans="1:6" ht="13">
      <c r="A40" s="1">
        <v>-1.8288000000000015</v>
      </c>
      <c r="B40" s="1">
        <v>295.7</v>
      </c>
      <c r="C40" s="1"/>
      <c r="D40" s="1"/>
    </row>
    <row r="41" spans="1:6" ht="13">
      <c r="A41" s="1">
        <v>-0.24129999999999999</v>
      </c>
      <c r="B41" s="6">
        <v>285.49</v>
      </c>
      <c r="C41" s="1"/>
      <c r="D41" s="1"/>
    </row>
    <row r="42" spans="1:6" ht="13">
      <c r="A42" s="1">
        <v>1.3461999999999983</v>
      </c>
      <c r="B42" s="1">
        <v>278.37</v>
      </c>
      <c r="C42" s="1"/>
      <c r="D42" s="1"/>
    </row>
    <row r="43" spans="1:6" ht="13">
      <c r="A43" s="1">
        <v>2.9336999999999982</v>
      </c>
      <c r="B43" s="1">
        <v>256.37</v>
      </c>
      <c r="C43" s="1"/>
      <c r="D43" s="1"/>
    </row>
    <row r="44" spans="1:6" ht="13">
      <c r="A44" s="1">
        <v>4.5211999999999986</v>
      </c>
      <c r="B44" s="1">
        <v>247.98</v>
      </c>
      <c r="C44" s="1"/>
      <c r="D44" s="1"/>
    </row>
    <row r="45" spans="1:6" ht="13">
      <c r="A45" s="1">
        <v>6.108699999999998</v>
      </c>
      <c r="B45" s="1">
        <v>238.64</v>
      </c>
      <c r="C45" s="1"/>
      <c r="D45" s="1"/>
    </row>
    <row r="46" spans="1:6" ht="13">
      <c r="A46" s="1">
        <v>7.6961999999999984</v>
      </c>
      <c r="B46" s="1">
        <v>222.79</v>
      </c>
      <c r="C46" s="1"/>
      <c r="D46" s="1"/>
    </row>
    <row r="47" spans="1:6" ht="13">
      <c r="A47" s="1">
        <v>9.2836999999999978</v>
      </c>
      <c r="B47" s="1">
        <v>213.2</v>
      </c>
      <c r="C47" s="1"/>
      <c r="D47" s="1"/>
    </row>
    <row r="48" spans="1:6" ht="13">
      <c r="A48" s="1">
        <v>10.871199999999998</v>
      </c>
      <c r="B48" s="1">
        <v>203.95</v>
      </c>
      <c r="C48" s="1"/>
      <c r="D48" s="1"/>
      <c r="E48" s="4" t="s">
        <v>82</v>
      </c>
    </row>
    <row r="49" spans="1:4" ht="13">
      <c r="A49" s="1">
        <v>12.458699999999999</v>
      </c>
      <c r="B49" s="1">
        <v>186.77</v>
      </c>
      <c r="C49" s="1"/>
      <c r="D49" s="1"/>
    </row>
    <row r="50" spans="1:4" ht="13">
      <c r="A50" s="1">
        <v>14.046199999999997</v>
      </c>
      <c r="B50" s="1">
        <v>178.21</v>
      </c>
      <c r="C50" s="1"/>
      <c r="D50" s="1"/>
    </row>
    <row r="51" spans="1:4" ht="13">
      <c r="A51" s="1">
        <v>15.633699999999997</v>
      </c>
      <c r="B51" s="1">
        <v>169.18</v>
      </c>
      <c r="C51" s="1"/>
      <c r="D51" s="1"/>
    </row>
    <row r="52" spans="1:4" ht="13">
      <c r="A52" s="1">
        <v>17.221199999999996</v>
      </c>
      <c r="B52" s="6">
        <v>161.04</v>
      </c>
      <c r="C52" s="1"/>
      <c r="D52" s="1"/>
    </row>
    <row r="53" spans="1:4" ht="13">
      <c r="A53" s="1">
        <v>18.808699999999998</v>
      </c>
      <c r="B53" s="1">
        <v>155.28</v>
      </c>
      <c r="C53" s="1"/>
      <c r="D53" s="1"/>
    </row>
    <row r="54" spans="1:4" ht="13">
      <c r="A54" s="1">
        <v>20.396199999999997</v>
      </c>
      <c r="B54" s="1">
        <v>145.65</v>
      </c>
      <c r="C54" s="1"/>
      <c r="D54" s="1"/>
    </row>
    <row r="55" spans="1:4" ht="13">
      <c r="A55" s="1">
        <v>21.983699999999999</v>
      </c>
      <c r="B55" s="1">
        <v>136.9</v>
      </c>
      <c r="C55" s="1"/>
      <c r="D55" s="1"/>
    </row>
    <row r="56" spans="1:4" ht="13">
      <c r="A56" s="1">
        <v>23.571199999999997</v>
      </c>
      <c r="B56" s="1">
        <v>116.13</v>
      </c>
      <c r="C56" s="1"/>
      <c r="D56" s="1"/>
    </row>
    <row r="57" spans="1:4" ht="13">
      <c r="A57" s="1">
        <v>25.158699999999996</v>
      </c>
      <c r="B57" s="1">
        <v>110.88</v>
      </c>
      <c r="C57" s="1"/>
      <c r="D57" s="1"/>
    </row>
    <row r="58" spans="1:4" ht="13">
      <c r="A58" s="1">
        <v>26.746199999999998</v>
      </c>
      <c r="B58" s="1">
        <v>103.46</v>
      </c>
      <c r="C58" s="1"/>
      <c r="D58" s="1"/>
    </row>
    <row r="59" spans="1:4" ht="13">
      <c r="A59" s="1">
        <v>33.096199999999996</v>
      </c>
      <c r="B59" s="1">
        <v>92.88</v>
      </c>
      <c r="C59" s="1"/>
      <c r="D59" s="1"/>
    </row>
    <row r="60" spans="1:4" ht="13">
      <c r="A60" s="1">
        <v>39.446199999999997</v>
      </c>
      <c r="B60" s="1">
        <v>71.55</v>
      </c>
      <c r="C60" s="1"/>
      <c r="D60" s="1"/>
    </row>
    <row r="61" spans="1:4" ht="13">
      <c r="A61" s="1">
        <v>45.796199999999999</v>
      </c>
      <c r="B61" s="1">
        <v>55.47</v>
      </c>
      <c r="C61" s="1"/>
      <c r="D61" s="1"/>
    </row>
    <row r="62" spans="1:4" ht="13">
      <c r="A62" s="1">
        <v>52.146199999999993</v>
      </c>
      <c r="B62" s="1">
        <v>42.79</v>
      </c>
      <c r="C62" s="1"/>
      <c r="D62" s="1"/>
    </row>
    <row r="63" spans="1:4" ht="13">
      <c r="A63" s="1">
        <v>58.496199999999995</v>
      </c>
      <c r="B63" s="1">
        <v>35.770000000000003</v>
      </c>
      <c r="C63" s="1"/>
      <c r="D63" s="1"/>
    </row>
    <row r="64" spans="1:4" ht="13">
      <c r="A64" s="1">
        <v>64.846199999999996</v>
      </c>
      <c r="B64" s="1">
        <v>30.08</v>
      </c>
      <c r="C64" s="1"/>
      <c r="D64" s="1"/>
    </row>
    <row r="65" spans="1:10" ht="13">
      <c r="A65" s="1">
        <v>71.19619999999999</v>
      </c>
      <c r="B65" s="1">
        <v>26.48</v>
      </c>
      <c r="C65" s="1"/>
      <c r="D65" s="1"/>
    </row>
    <row r="66" spans="1:10" ht="13">
      <c r="A66" s="1">
        <v>77.546199999999999</v>
      </c>
      <c r="B66" s="1">
        <v>22.1</v>
      </c>
      <c r="C66" s="1"/>
      <c r="D66" s="1"/>
    </row>
    <row r="67" spans="1:10" ht="15.75" customHeight="1">
      <c r="A67" s="1">
        <v>90.246199999999988</v>
      </c>
      <c r="B67" s="1">
        <v>16.940000000000001</v>
      </c>
    </row>
    <row r="68" spans="1:10" ht="28">
      <c r="A68" s="1">
        <v>102.94619999999999</v>
      </c>
      <c r="B68" s="1">
        <v>12.93</v>
      </c>
      <c r="D68" s="4" t="s">
        <v>83</v>
      </c>
      <c r="F68" s="60" t="s">
        <v>84</v>
      </c>
      <c r="G68" s="60" t="s">
        <v>85</v>
      </c>
      <c r="H68" s="4" t="s">
        <v>86</v>
      </c>
    </row>
    <row r="69" spans="1:10" ht="15.75" customHeight="1">
      <c r="A69" s="1">
        <v>115.64619999999999</v>
      </c>
      <c r="B69" s="1">
        <v>11.25</v>
      </c>
      <c r="D69" s="63" t="s">
        <v>87</v>
      </c>
      <c r="J69" s="4"/>
    </row>
    <row r="70" spans="1:10" ht="13">
      <c r="A70" s="1">
        <v>128.34619999999998</v>
      </c>
      <c r="B70" s="1">
        <v>9.6999999999999993</v>
      </c>
      <c r="D70" s="63"/>
      <c r="F70" s="6" t="s">
        <v>88</v>
      </c>
      <c r="G70" s="6" t="s">
        <v>89</v>
      </c>
      <c r="H70">
        <v>118.63</v>
      </c>
    </row>
    <row r="71" spans="1:10" ht="13">
      <c r="D71" s="63"/>
    </row>
    <row r="72" spans="1:10" ht="13">
      <c r="D72" s="63"/>
    </row>
    <row r="73" spans="1:10" ht="13">
      <c r="D73" s="65" t="s">
        <v>90</v>
      </c>
      <c r="F73" s="5" t="s">
        <v>91</v>
      </c>
      <c r="G73" s="66" t="s">
        <v>92</v>
      </c>
      <c r="H73">
        <v>390.28</v>
      </c>
      <c r="I73" s="9" t="s">
        <v>93</v>
      </c>
    </row>
    <row r="74" spans="1:10" ht="15.75" customHeight="1">
      <c r="D74" s="63"/>
      <c r="G74" s="63"/>
    </row>
    <row r="75" spans="1:10" ht="15.75" customHeight="1">
      <c r="D75" s="63"/>
      <c r="G75" s="63"/>
    </row>
    <row r="76" spans="1:10" ht="15.75" customHeight="1">
      <c r="D76" s="63"/>
      <c r="G76" s="63"/>
    </row>
    <row r="77" spans="1:10" ht="15.75" customHeight="1">
      <c r="D77" s="65" t="s">
        <v>94</v>
      </c>
      <c r="F77" s="6" t="s">
        <v>95</v>
      </c>
      <c r="G77" s="6" t="s">
        <v>96</v>
      </c>
      <c r="H77" s="6">
        <v>273.82</v>
      </c>
    </row>
    <row r="78" spans="1:10" ht="15.75" customHeight="1">
      <c r="D78" s="63"/>
    </row>
    <row r="79" spans="1:10" ht="15.75" customHeight="1">
      <c r="D79" s="63"/>
    </row>
    <row r="80" spans="1:10" ht="15.75" customHeight="1">
      <c r="D80" s="63"/>
    </row>
    <row r="82" spans="4:8" ht="15.75" customHeight="1">
      <c r="D82" s="65" t="s">
        <v>97</v>
      </c>
      <c r="F82" s="6" t="s">
        <v>98</v>
      </c>
      <c r="G82" s="6" t="s">
        <v>99</v>
      </c>
      <c r="H82">
        <v>156.30000000000001</v>
      </c>
    </row>
    <row r="83" spans="4:8" ht="15.75" customHeight="1">
      <c r="D83" s="63"/>
    </row>
    <row r="84" spans="4:8" ht="15.75" customHeight="1">
      <c r="D84" s="63"/>
    </row>
    <row r="85" spans="4:8" ht="15.75" customHeight="1">
      <c r="D85" s="63"/>
    </row>
    <row r="86" spans="4:8" ht="15.75" customHeight="1">
      <c r="D86" s="63"/>
    </row>
    <row r="87" spans="4:8" ht="15.75" customHeight="1">
      <c r="D87" s="63"/>
    </row>
    <row r="88" spans="4:8" ht="15.75" customHeight="1">
      <c r="D88" s="63"/>
    </row>
    <row r="89" spans="4:8" ht="15.75" customHeight="1">
      <c r="D89" s="63"/>
    </row>
    <row r="90" spans="4:8" ht="15.75" customHeight="1">
      <c r="D90" s="63"/>
    </row>
  </sheetData>
  <mergeCells count="8">
    <mergeCell ref="D77:D80"/>
    <mergeCell ref="D82:D90"/>
    <mergeCell ref="G73:G76"/>
    <mergeCell ref="C38:F38"/>
    <mergeCell ref="A1:A3"/>
    <mergeCell ref="B1:B3"/>
    <mergeCell ref="D69:D72"/>
    <mergeCell ref="D73:D7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"/>
  <sheetViews>
    <sheetView topLeftCell="B89" workbookViewId="0">
      <selection activeCell="I99" sqref="I99"/>
    </sheetView>
  </sheetViews>
  <sheetFormatPr baseColWidth="10" defaultColWidth="12.6640625" defaultRowHeight="15.75" customHeight="1"/>
  <sheetData>
    <row r="1" spans="1:2" ht="42">
      <c r="A1" s="59" t="s">
        <v>79</v>
      </c>
      <c r="B1" s="59" t="s">
        <v>80</v>
      </c>
    </row>
    <row r="2" spans="1:2" ht="13"/>
    <row r="3" spans="1:2" ht="13">
      <c r="A3" s="1">
        <v>-79.616299999999995</v>
      </c>
      <c r="B3" s="1">
        <v>98.79</v>
      </c>
    </row>
    <row r="4" spans="1:2" ht="13">
      <c r="A4" s="1">
        <v>-78.02879999999999</v>
      </c>
      <c r="B4" s="1">
        <v>104.86</v>
      </c>
    </row>
    <row r="5" spans="1:2" ht="13">
      <c r="A5" s="1">
        <v>-76.441299999999998</v>
      </c>
      <c r="B5" s="1">
        <v>112.4</v>
      </c>
    </row>
    <row r="6" spans="1:2" ht="13">
      <c r="A6" s="1">
        <v>-74.853799999999993</v>
      </c>
      <c r="B6" s="1">
        <v>119.2</v>
      </c>
    </row>
    <row r="7" spans="1:2" ht="13">
      <c r="A7" s="1">
        <v>-73.266299999999987</v>
      </c>
      <c r="B7" s="1">
        <v>127.44</v>
      </c>
    </row>
    <row r="8" spans="1:2" ht="13">
      <c r="A8" s="1">
        <v>-71.678799999999995</v>
      </c>
      <c r="B8" s="1">
        <v>132.88</v>
      </c>
    </row>
    <row r="9" spans="1:2" ht="13">
      <c r="A9" s="1">
        <v>-70.09129999999999</v>
      </c>
      <c r="B9" s="1">
        <v>144.47999999999999</v>
      </c>
    </row>
    <row r="10" spans="1:2" ht="13">
      <c r="A10" s="1">
        <v>-68.503799999999998</v>
      </c>
      <c r="B10" s="1">
        <v>154.13999999999999</v>
      </c>
    </row>
    <row r="11" spans="1:2" ht="13">
      <c r="A11" s="1">
        <v>-66.916299999999993</v>
      </c>
      <c r="B11" s="1">
        <v>163.87</v>
      </c>
    </row>
    <row r="12" spans="1:2" ht="13">
      <c r="A12" s="1">
        <v>-65.328800000000001</v>
      </c>
      <c r="B12" s="1">
        <v>172.25</v>
      </c>
    </row>
    <row r="13" spans="1:2" ht="13">
      <c r="A13" s="1">
        <v>-63.741299999999995</v>
      </c>
      <c r="B13" s="1">
        <v>181.39</v>
      </c>
    </row>
    <row r="14" spans="1:2" ht="13">
      <c r="A14" s="1">
        <v>-62.15379999999999</v>
      </c>
      <c r="B14" s="1">
        <v>190.27</v>
      </c>
    </row>
    <row r="15" spans="1:2" ht="13">
      <c r="A15" s="1">
        <v>-60.566299999999991</v>
      </c>
      <c r="B15" s="1">
        <v>199.76</v>
      </c>
    </row>
    <row r="16" spans="1:2" ht="13">
      <c r="A16" s="1">
        <v>-58.978799999999993</v>
      </c>
      <c r="B16" s="1">
        <v>209.41</v>
      </c>
    </row>
    <row r="17" spans="1:2" ht="13">
      <c r="A17" s="1">
        <v>-57.391299999999994</v>
      </c>
      <c r="B17" s="1">
        <v>231.55</v>
      </c>
    </row>
    <row r="18" spans="1:2" ht="13">
      <c r="A18" s="1">
        <v>-55.803799999999995</v>
      </c>
      <c r="B18" s="1">
        <v>239.2</v>
      </c>
    </row>
    <row r="19" spans="1:2" ht="13">
      <c r="A19" s="1">
        <v>-54.21629999999999</v>
      </c>
      <c r="B19" s="1">
        <v>255.77</v>
      </c>
    </row>
    <row r="20" spans="1:2" ht="13">
      <c r="A20" s="1">
        <v>-52.628799999999998</v>
      </c>
      <c r="B20" s="1">
        <v>267.24</v>
      </c>
    </row>
    <row r="21" spans="1:2" ht="13">
      <c r="A21" s="1">
        <v>-51.041299999999993</v>
      </c>
      <c r="B21" s="1">
        <v>283.88</v>
      </c>
    </row>
    <row r="22" spans="1:2" ht="13">
      <c r="A22" s="1">
        <v>-49.453799999999994</v>
      </c>
      <c r="B22" s="1">
        <v>305.75</v>
      </c>
    </row>
    <row r="23" spans="1:2" ht="13">
      <c r="A23" s="1">
        <v>-47.866299999999995</v>
      </c>
      <c r="B23" s="1">
        <v>311.62</v>
      </c>
    </row>
    <row r="24" spans="1:2" ht="13">
      <c r="A24" s="1">
        <v>-46.27879999999999</v>
      </c>
      <c r="B24" s="1">
        <v>325.51</v>
      </c>
    </row>
    <row r="25" spans="1:2" ht="13">
      <c r="A25" s="1">
        <v>-44.691299999999998</v>
      </c>
      <c r="B25" s="1">
        <v>342.95</v>
      </c>
    </row>
    <row r="26" spans="1:2" ht="13">
      <c r="A26" s="1">
        <v>-43.103799999999993</v>
      </c>
      <c r="B26" s="1">
        <v>350.83</v>
      </c>
    </row>
    <row r="27" spans="1:2" ht="13">
      <c r="A27" s="1">
        <v>-41.516299999999994</v>
      </c>
      <c r="B27" s="1">
        <v>361.31</v>
      </c>
    </row>
    <row r="28" spans="1:2" ht="13">
      <c r="A28" s="1">
        <v>-39.928799999999995</v>
      </c>
      <c r="B28" s="1">
        <v>370.16</v>
      </c>
    </row>
    <row r="29" spans="1:2" ht="13">
      <c r="A29" s="1">
        <v>-38.341299999999997</v>
      </c>
      <c r="B29" s="1">
        <v>380.05</v>
      </c>
    </row>
    <row r="30" spans="1:2" ht="13">
      <c r="A30" s="1">
        <v>-36.753799999999998</v>
      </c>
      <c r="B30" s="1">
        <v>384.39</v>
      </c>
    </row>
    <row r="31" spans="1:2" ht="13">
      <c r="A31" s="1">
        <v>-35.166299999999993</v>
      </c>
      <c r="B31" s="1">
        <v>390.41</v>
      </c>
    </row>
    <row r="32" spans="1:2" ht="13">
      <c r="A32" s="1">
        <v>-33.578799999999994</v>
      </c>
      <c r="B32" s="1">
        <v>398.06</v>
      </c>
    </row>
    <row r="33" spans="1:2" ht="13">
      <c r="A33" s="1">
        <v>-31.991299999999995</v>
      </c>
      <c r="B33" s="1">
        <v>398.46</v>
      </c>
    </row>
    <row r="34" spans="1:2" ht="13">
      <c r="A34" s="1">
        <v>-30.403799999999997</v>
      </c>
      <c r="B34" s="1">
        <v>404.21</v>
      </c>
    </row>
    <row r="35" spans="1:2" ht="13">
      <c r="A35" s="1">
        <v>-28.816299999999998</v>
      </c>
      <c r="B35" s="1">
        <v>408.35</v>
      </c>
    </row>
    <row r="36" spans="1:2" ht="13">
      <c r="A36" s="1">
        <v>-27.228799999999993</v>
      </c>
      <c r="B36" s="1">
        <v>412.55</v>
      </c>
    </row>
    <row r="37" spans="1:2" ht="13">
      <c r="A37" s="1">
        <v>-25.641299999999994</v>
      </c>
      <c r="B37" s="1">
        <v>413.44</v>
      </c>
    </row>
    <row r="38" spans="1:2" ht="13">
      <c r="A38" s="1">
        <v>-24.053799999999995</v>
      </c>
      <c r="B38" s="1">
        <v>409.41</v>
      </c>
    </row>
    <row r="39" spans="1:2" ht="13">
      <c r="A39" s="1">
        <v>-22.466299999999997</v>
      </c>
      <c r="B39" s="1">
        <v>407.67</v>
      </c>
    </row>
    <row r="40" spans="1:2" ht="13">
      <c r="A40" s="1">
        <v>-20.878799999999998</v>
      </c>
      <c r="B40" s="1">
        <v>402.25</v>
      </c>
    </row>
    <row r="41" spans="1:2" ht="13">
      <c r="A41" s="1">
        <v>-19.291299999999993</v>
      </c>
      <c r="B41" s="1">
        <v>400.35</v>
      </c>
    </row>
    <row r="42" spans="1:2" ht="13">
      <c r="A42" s="1">
        <v>-17.703799999999994</v>
      </c>
      <c r="B42" s="1">
        <v>397.63</v>
      </c>
    </row>
    <row r="43" spans="1:2" ht="13">
      <c r="A43" s="1">
        <v>-16.116299999999995</v>
      </c>
      <c r="B43" s="1">
        <v>389.53</v>
      </c>
    </row>
    <row r="44" spans="1:2" ht="13">
      <c r="A44" s="1">
        <v>-14.528799999999997</v>
      </c>
      <c r="B44" s="1">
        <v>381.38</v>
      </c>
    </row>
    <row r="45" spans="1:2" ht="13">
      <c r="A45" s="1">
        <v>-12.941299999999998</v>
      </c>
      <c r="B45" s="1">
        <v>371.62</v>
      </c>
    </row>
    <row r="46" spans="1:2" ht="13">
      <c r="A46" s="1">
        <v>-11.353799999999993</v>
      </c>
      <c r="B46" s="1">
        <v>367.72</v>
      </c>
    </row>
    <row r="47" spans="1:2" ht="13">
      <c r="A47" s="1">
        <v>-9.7663000000000011</v>
      </c>
      <c r="B47" s="1">
        <v>352.06</v>
      </c>
    </row>
    <row r="48" spans="1:2" ht="13">
      <c r="A48" s="1">
        <v>-8.1787999999999954</v>
      </c>
      <c r="B48" s="1">
        <v>348.06</v>
      </c>
    </row>
    <row r="49" spans="1:2" ht="13">
      <c r="A49" s="1">
        <v>-6.5912999999999897</v>
      </c>
      <c r="B49" s="1">
        <v>336.82</v>
      </c>
    </row>
    <row r="50" spans="1:2" ht="13">
      <c r="A50" s="1">
        <v>-5.0037999999999982</v>
      </c>
      <c r="B50" s="1">
        <v>328.29</v>
      </c>
    </row>
    <row r="51" spans="1:2" ht="13">
      <c r="A51" s="1">
        <v>-3.4162999999999926</v>
      </c>
      <c r="B51" s="1">
        <v>299.92</v>
      </c>
    </row>
    <row r="52" spans="1:2" ht="13">
      <c r="A52" s="1">
        <v>-1.8288000000000011</v>
      </c>
      <c r="B52" s="1">
        <v>290.24</v>
      </c>
    </row>
    <row r="53" spans="1:2" ht="13">
      <c r="A53" s="1">
        <v>-0.24129999999999541</v>
      </c>
      <c r="B53" s="1">
        <v>285.69</v>
      </c>
    </row>
    <row r="54" spans="1:2" ht="13">
      <c r="A54" s="1">
        <v>1.3461999999999961</v>
      </c>
      <c r="B54" s="1">
        <v>275.77</v>
      </c>
    </row>
    <row r="55" spans="1:2" ht="13">
      <c r="A55" s="1">
        <v>2.9337000000000018</v>
      </c>
      <c r="B55" s="1">
        <v>263.70999999999998</v>
      </c>
    </row>
    <row r="56" spans="1:2" ht="13">
      <c r="A56" s="1">
        <v>4.5212000000000074</v>
      </c>
      <c r="B56" s="1">
        <v>256.64</v>
      </c>
    </row>
    <row r="57" spans="1:2" ht="13">
      <c r="A57" s="1">
        <v>6.1086999999999989</v>
      </c>
      <c r="B57" s="1">
        <v>242.87</v>
      </c>
    </row>
    <row r="58" spans="1:2" ht="13">
      <c r="A58" s="1">
        <v>7.6962000000000046</v>
      </c>
      <c r="B58" s="1">
        <v>233.66</v>
      </c>
    </row>
    <row r="59" spans="1:2" ht="13">
      <c r="A59" s="1">
        <v>9.2836999999999961</v>
      </c>
      <c r="B59" s="1">
        <v>212.33</v>
      </c>
    </row>
    <row r="60" spans="1:2" ht="13">
      <c r="A60" s="1">
        <v>10.871200000000002</v>
      </c>
      <c r="B60" s="1">
        <v>200.75</v>
      </c>
    </row>
    <row r="61" spans="1:2" ht="13">
      <c r="A61" s="1">
        <v>12.458700000000007</v>
      </c>
      <c r="B61" s="1">
        <v>188.22</v>
      </c>
    </row>
    <row r="62" spans="1:2" ht="13">
      <c r="A62" s="1">
        <v>14.046199999999999</v>
      </c>
      <c r="B62" s="1">
        <v>181.13</v>
      </c>
    </row>
    <row r="63" spans="1:2" ht="13">
      <c r="A63" s="1">
        <v>15.633700000000005</v>
      </c>
      <c r="B63" s="1">
        <v>171.22</v>
      </c>
    </row>
    <row r="64" spans="1:2" ht="13">
      <c r="A64" s="1">
        <v>17.221199999999996</v>
      </c>
      <c r="B64" s="1">
        <v>164.34</v>
      </c>
    </row>
    <row r="65" spans="1:2" ht="13">
      <c r="A65" s="1">
        <v>18.808700000000002</v>
      </c>
      <c r="B65" s="1">
        <v>147.47999999999999</v>
      </c>
    </row>
    <row r="66" spans="1:2" ht="13">
      <c r="A66" s="1">
        <v>20.396200000000007</v>
      </c>
      <c r="B66" s="1">
        <v>141.58000000000001</v>
      </c>
    </row>
    <row r="67" spans="1:2" ht="13">
      <c r="A67" s="1">
        <v>21.983699999999999</v>
      </c>
      <c r="B67" s="1">
        <v>133.43</v>
      </c>
    </row>
    <row r="68" spans="1:2" ht="13">
      <c r="A68" s="1">
        <v>23.571200000000005</v>
      </c>
      <c r="B68" s="1">
        <v>125.95</v>
      </c>
    </row>
    <row r="69" spans="1:2" ht="13">
      <c r="A69" s="1">
        <v>25.158699999999996</v>
      </c>
      <c r="B69" s="1">
        <v>120.67</v>
      </c>
    </row>
    <row r="70" spans="1:2" ht="13">
      <c r="A70" s="1">
        <v>26.746200000000002</v>
      </c>
      <c r="B70" s="1">
        <v>117.34</v>
      </c>
    </row>
    <row r="71" spans="1:2" ht="13">
      <c r="A71" s="1">
        <v>28.333700000000007</v>
      </c>
      <c r="B71" s="1">
        <v>110.3</v>
      </c>
    </row>
    <row r="72" spans="1:2" ht="13">
      <c r="A72" s="1">
        <v>29.921199999999999</v>
      </c>
      <c r="B72" s="1">
        <v>104.34</v>
      </c>
    </row>
    <row r="73" spans="1:2" ht="13">
      <c r="A73" s="1">
        <v>31.508700000000005</v>
      </c>
      <c r="B73" s="1">
        <v>98.81</v>
      </c>
    </row>
    <row r="74" spans="1:2" ht="13">
      <c r="A74" s="1">
        <v>33.096199999999996</v>
      </c>
      <c r="B74" s="1">
        <v>92.84</v>
      </c>
    </row>
    <row r="75" spans="1:2" ht="13">
      <c r="A75" s="1">
        <v>39.446200000000005</v>
      </c>
      <c r="B75" s="1">
        <v>78.39</v>
      </c>
    </row>
    <row r="76" spans="1:2" ht="13">
      <c r="A76" s="1">
        <v>45.796199999999999</v>
      </c>
      <c r="B76" s="1">
        <v>59.61</v>
      </c>
    </row>
    <row r="77" spans="1:2" ht="13">
      <c r="A77" s="1">
        <v>52.146200000000007</v>
      </c>
      <c r="B77" s="1">
        <v>50.43</v>
      </c>
    </row>
    <row r="78" spans="1:2" ht="13">
      <c r="A78" s="1">
        <v>58.496200000000002</v>
      </c>
      <c r="B78" s="1">
        <v>39.94</v>
      </c>
    </row>
    <row r="79" spans="1:2" ht="13">
      <c r="A79" s="1">
        <v>64.846199999999996</v>
      </c>
      <c r="B79" s="1">
        <v>33.049999999999997</v>
      </c>
    </row>
    <row r="80" spans="1:2" ht="13">
      <c r="A80" s="1">
        <v>77.546199999999985</v>
      </c>
      <c r="B80" s="1">
        <v>28.15</v>
      </c>
    </row>
    <row r="81" spans="1:9" ht="13">
      <c r="A81" s="1">
        <v>90.246200000000002</v>
      </c>
      <c r="B81" s="1">
        <v>20.25</v>
      </c>
    </row>
    <row r="82" spans="1:9" ht="13">
      <c r="A82" s="1">
        <v>102.94619999999999</v>
      </c>
      <c r="B82" s="1">
        <v>15.47</v>
      </c>
    </row>
    <row r="83" spans="1:9" ht="13">
      <c r="A83" s="1">
        <v>115.64620000000001</v>
      </c>
      <c r="B83" s="1">
        <v>11.44</v>
      </c>
    </row>
    <row r="84" spans="1:9" ht="15.75" customHeight="1">
      <c r="A84" s="1">
        <v>128.34620000000001</v>
      </c>
      <c r="B84" s="1">
        <v>9.3699999999999992</v>
      </c>
    </row>
    <row r="85" spans="1:9" ht="13"/>
    <row r="87" spans="1:9" ht="13"/>
    <row r="88" spans="1:9" ht="13"/>
    <row r="89" spans="1:9" ht="28">
      <c r="C89" s="68" t="s">
        <v>83</v>
      </c>
      <c r="D89" s="68"/>
      <c r="F89" s="60" t="s">
        <v>85</v>
      </c>
      <c r="G89" s="60" t="s">
        <v>84</v>
      </c>
      <c r="H89" s="4" t="s">
        <v>86</v>
      </c>
    </row>
    <row r="90" spans="1:9" ht="13"/>
    <row r="91" spans="1:9" ht="15.75" customHeight="1">
      <c r="C91" t="s">
        <v>87</v>
      </c>
      <c r="F91" s="6" t="s">
        <v>89</v>
      </c>
      <c r="G91" s="6" t="s">
        <v>88</v>
      </c>
      <c r="H91">
        <v>118.63</v>
      </c>
    </row>
    <row r="93" spans="1:9" ht="15.75" customHeight="1">
      <c r="G93" s="63" t="s">
        <v>100</v>
      </c>
    </row>
    <row r="94" spans="1:9" ht="15.75" customHeight="1">
      <c r="G94" s="63"/>
    </row>
    <row r="95" spans="1:9" ht="15.75" customHeight="1">
      <c r="G95" s="63"/>
    </row>
    <row r="96" spans="1:9" ht="15.75" customHeight="1">
      <c r="C96" s="68" t="s">
        <v>101</v>
      </c>
      <c r="D96" s="68"/>
      <c r="E96" s="68"/>
      <c r="F96" s="6">
        <v>413.44</v>
      </c>
      <c r="G96" s="63"/>
      <c r="H96">
        <v>391.8</v>
      </c>
      <c r="I96" t="s">
        <v>93</v>
      </c>
    </row>
    <row r="97" spans="3:8" ht="15.75" customHeight="1">
      <c r="C97" s="68" t="s">
        <v>94</v>
      </c>
      <c r="D97" s="68"/>
      <c r="E97" s="68"/>
      <c r="F97" s="6">
        <v>285.69</v>
      </c>
      <c r="G97" s="6">
        <v>285.49</v>
      </c>
      <c r="H97" s="6">
        <v>273.82</v>
      </c>
    </row>
    <row r="98" spans="3:8" ht="15.75" customHeight="1">
      <c r="C98" s="63" t="s">
        <v>97</v>
      </c>
      <c r="D98" s="63"/>
      <c r="E98" s="63"/>
    </row>
    <row r="99" spans="3:8" ht="15.75" customHeight="1">
      <c r="C99" s="63"/>
      <c r="D99" s="63"/>
      <c r="E99" s="63"/>
    </row>
    <row r="100" spans="3:8" ht="15.75" customHeight="1">
      <c r="C100" s="63"/>
      <c r="D100" s="63"/>
      <c r="E100" s="63"/>
      <c r="F100" s="6">
        <v>164.34</v>
      </c>
      <c r="G100" s="6">
        <v>161.04</v>
      </c>
      <c r="H100">
        <v>156.30000000000001</v>
      </c>
    </row>
  </sheetData>
  <mergeCells count="5">
    <mergeCell ref="G93:G96"/>
    <mergeCell ref="C98:E100"/>
    <mergeCell ref="C89:D89"/>
    <mergeCell ref="C96:E96"/>
    <mergeCell ref="C97:E9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2"/>
  <sheetViews>
    <sheetView topLeftCell="C1" workbookViewId="0">
      <selection activeCell="F15" sqref="F15"/>
    </sheetView>
  </sheetViews>
  <sheetFormatPr baseColWidth="10" defaultColWidth="12.6640625" defaultRowHeight="15.75" customHeight="1"/>
  <sheetData>
    <row r="1" spans="1:12" ht="15.75" customHeight="1" thickBot="1">
      <c r="A1" s="8" t="s">
        <v>23</v>
      </c>
      <c r="B1" s="8" t="s">
        <v>102</v>
      </c>
      <c r="C1" s="9" t="s">
        <v>103</v>
      </c>
      <c r="D1" s="8" t="s">
        <v>104</v>
      </c>
      <c r="E1" s="8" t="s">
        <v>45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9" t="s">
        <v>111</v>
      </c>
    </row>
    <row r="2" spans="1:12" ht="15.75" customHeight="1" thickBot="1">
      <c r="A2" s="7">
        <v>0</v>
      </c>
      <c r="B2" s="7">
        <v>0</v>
      </c>
      <c r="C2">
        <f>A2^2*(0.007729)</f>
        <v>0</v>
      </c>
      <c r="D2" s="7">
        <v>18.600000000000001</v>
      </c>
      <c r="E2" s="7">
        <v>17.5</v>
      </c>
      <c r="F2" s="7">
        <v>17.899999999999999</v>
      </c>
      <c r="G2" s="7">
        <v>17.8</v>
      </c>
      <c r="H2" s="7">
        <v>16.899999999999999</v>
      </c>
      <c r="I2" s="7">
        <v>17</v>
      </c>
      <c r="J2" s="7">
        <v>17.2</v>
      </c>
      <c r="K2" s="7">
        <v>20</v>
      </c>
      <c r="L2" s="9" t="s">
        <v>112</v>
      </c>
    </row>
    <row r="3" spans="1:12" ht="15.75" customHeight="1" thickBot="1">
      <c r="A3" s="7">
        <v>0</v>
      </c>
      <c r="B3" s="7">
        <v>0</v>
      </c>
      <c r="C3">
        <f t="shared" ref="C3:C10" si="0">A3^2*(0.007729)</f>
        <v>0</v>
      </c>
      <c r="D3" s="7">
        <v>16.5</v>
      </c>
      <c r="E3" s="7">
        <v>15.4</v>
      </c>
      <c r="F3" s="7">
        <v>16.3</v>
      </c>
      <c r="G3" s="7">
        <v>17.5</v>
      </c>
      <c r="H3" s="7">
        <v>15</v>
      </c>
      <c r="I3" s="7">
        <v>17.7</v>
      </c>
      <c r="J3" s="7">
        <v>15.6</v>
      </c>
      <c r="K3" s="7">
        <v>17.3</v>
      </c>
      <c r="L3" s="9" t="s">
        <v>113</v>
      </c>
    </row>
    <row r="4" spans="1:12" ht="15.75" customHeight="1" thickBot="1">
      <c r="A4" s="7">
        <v>50.11</v>
      </c>
      <c r="B4" s="7">
        <v>0.40100000000000002</v>
      </c>
      <c r="C4">
        <f t="shared" si="0"/>
        <v>19.407612520899999</v>
      </c>
      <c r="D4" s="7">
        <v>17.2</v>
      </c>
      <c r="E4" s="7">
        <v>15.7</v>
      </c>
      <c r="F4" s="7">
        <v>16.600000000000001</v>
      </c>
      <c r="G4" s="7">
        <v>18</v>
      </c>
      <c r="H4" s="7">
        <v>16</v>
      </c>
      <c r="I4" s="7">
        <v>17.8</v>
      </c>
      <c r="J4" s="7">
        <v>15.8</v>
      </c>
      <c r="K4" s="7">
        <v>17</v>
      </c>
    </row>
    <row r="5" spans="1:12" ht="15.75" customHeight="1" thickBot="1">
      <c r="A5" s="7">
        <v>100.01</v>
      </c>
      <c r="B5" s="7">
        <v>0.80500000000000005</v>
      </c>
      <c r="C5">
        <f t="shared" si="0"/>
        <v>77.30545877290001</v>
      </c>
      <c r="D5" s="7">
        <v>17.399999999999999</v>
      </c>
      <c r="E5" s="7">
        <v>15.9</v>
      </c>
      <c r="F5" s="7">
        <v>17.399999999999999</v>
      </c>
      <c r="G5" s="7">
        <v>18.3</v>
      </c>
      <c r="H5" s="7">
        <v>16.899999999999999</v>
      </c>
      <c r="I5" s="7">
        <v>18.600000000000001</v>
      </c>
      <c r="J5" s="7">
        <v>16.100000000000001</v>
      </c>
      <c r="K5" s="7">
        <v>17.399999999999999</v>
      </c>
    </row>
    <row r="6" spans="1:12" ht="15.75" customHeight="1" thickBot="1">
      <c r="A6" s="7">
        <v>150.03</v>
      </c>
      <c r="B6" s="7">
        <v>1.2170000000000001</v>
      </c>
      <c r="C6">
        <f t="shared" si="0"/>
        <v>173.97206795609998</v>
      </c>
      <c r="D6" s="7">
        <v>17.8</v>
      </c>
      <c r="E6" s="7">
        <v>16</v>
      </c>
      <c r="F6" s="7">
        <v>17.899999999999999</v>
      </c>
      <c r="G6" s="7">
        <v>18.7</v>
      </c>
      <c r="H6" s="7">
        <v>18.399999999999999</v>
      </c>
      <c r="I6" s="7">
        <v>19</v>
      </c>
      <c r="J6" s="7">
        <v>16.5</v>
      </c>
      <c r="K6" s="7">
        <v>17.5</v>
      </c>
    </row>
    <row r="7" spans="1:12" ht="15.75" customHeight="1" thickBot="1">
      <c r="A7" s="7">
        <v>200.04</v>
      </c>
      <c r="B7" s="7">
        <v>1.63</v>
      </c>
      <c r="C7">
        <f t="shared" si="0"/>
        <v>309.28367636639996</v>
      </c>
      <c r="D7" s="7">
        <v>17.600000000000001</v>
      </c>
      <c r="E7" s="7">
        <v>16.2</v>
      </c>
      <c r="F7" s="7">
        <v>18.7</v>
      </c>
      <c r="G7" s="7">
        <v>18.899999999999999</v>
      </c>
      <c r="H7" s="7">
        <v>20.6</v>
      </c>
      <c r="I7" s="7">
        <v>20.5</v>
      </c>
      <c r="J7" s="7">
        <v>17.3</v>
      </c>
      <c r="K7" s="7">
        <v>18</v>
      </c>
    </row>
    <row r="8" spans="1:12" ht="15.75" customHeight="1" thickBot="1">
      <c r="A8" s="7">
        <v>250.04</v>
      </c>
      <c r="B8" s="7">
        <v>2.0289999999999999</v>
      </c>
      <c r="C8">
        <f t="shared" si="0"/>
        <v>483.21709236639998</v>
      </c>
      <c r="D8" s="7">
        <v>17.899999999999999</v>
      </c>
      <c r="E8" s="7">
        <v>16.5</v>
      </c>
      <c r="F8" s="7">
        <v>19.600000000000001</v>
      </c>
      <c r="G8" s="7">
        <v>19.399999999999999</v>
      </c>
      <c r="H8" s="7">
        <v>23.3</v>
      </c>
      <c r="I8" s="7">
        <v>22.9</v>
      </c>
      <c r="J8" s="7">
        <v>18.399999999999999</v>
      </c>
      <c r="K8" s="7">
        <v>18.5</v>
      </c>
    </row>
    <row r="9" spans="1:12" ht="15.75" customHeight="1" thickBot="1">
      <c r="A9" s="7">
        <v>275.07</v>
      </c>
      <c r="B9" s="7">
        <v>2.2719999999999998</v>
      </c>
      <c r="C9">
        <f t="shared" si="0"/>
        <v>584.80322937209996</v>
      </c>
      <c r="D9" s="7">
        <v>17.7</v>
      </c>
      <c r="E9" s="7">
        <v>16.2</v>
      </c>
      <c r="F9" s="7">
        <v>20.100000000000001</v>
      </c>
      <c r="G9" s="7">
        <v>19.7</v>
      </c>
      <c r="H9" s="7">
        <v>24.4</v>
      </c>
      <c r="I9" s="7">
        <v>23.6</v>
      </c>
      <c r="J9" s="7">
        <v>18.5</v>
      </c>
      <c r="K9" s="7">
        <v>18.5</v>
      </c>
    </row>
    <row r="10" spans="1:12" ht="15.75" customHeight="1" thickBot="1">
      <c r="A10" s="7">
        <v>300.08</v>
      </c>
      <c r="B10" s="7">
        <v>2.4889999999999999</v>
      </c>
      <c r="C10">
        <f t="shared" si="0"/>
        <v>695.9810414655999</v>
      </c>
      <c r="D10" s="7">
        <v>18.100000000000001</v>
      </c>
      <c r="E10" s="7">
        <v>16.5</v>
      </c>
      <c r="F10" s="7">
        <v>20.7</v>
      </c>
      <c r="G10" s="7">
        <v>20</v>
      </c>
      <c r="H10" s="7">
        <v>26.4</v>
      </c>
      <c r="I10" s="7">
        <v>24.8</v>
      </c>
      <c r="J10" s="7">
        <v>19.3</v>
      </c>
      <c r="K10" s="7">
        <v>18.899999999999999</v>
      </c>
    </row>
    <row r="12" spans="1:12" ht="15.75" customHeight="1">
      <c r="A12" s="9" t="s">
        <v>114</v>
      </c>
      <c r="D12">
        <f>D10-D3</f>
        <v>1.6000000000000014</v>
      </c>
      <c r="E12">
        <f t="shared" ref="E12:K12" si="1">E10-E3</f>
        <v>1.0999999999999996</v>
      </c>
      <c r="F12">
        <f t="shared" si="1"/>
        <v>4.3999999999999986</v>
      </c>
      <c r="G12">
        <f t="shared" si="1"/>
        <v>2.5</v>
      </c>
      <c r="H12">
        <f t="shared" si="1"/>
        <v>11.399999999999999</v>
      </c>
      <c r="I12">
        <f t="shared" si="1"/>
        <v>7.1000000000000014</v>
      </c>
      <c r="J12">
        <f t="shared" si="1"/>
        <v>3.7000000000000011</v>
      </c>
      <c r="K12">
        <f t="shared" si="1"/>
        <v>1.5999999999999979</v>
      </c>
    </row>
    <row r="13" spans="1:12" ht="15.75" customHeight="1">
      <c r="A13" s="9" t="s">
        <v>115</v>
      </c>
    </row>
    <row r="15" spans="1:12" ht="15.75" customHeight="1">
      <c r="A15" s="9" t="s">
        <v>116</v>
      </c>
    </row>
    <row r="16" spans="1:12" ht="15.75" customHeight="1">
      <c r="A16" s="9" t="s">
        <v>117</v>
      </c>
    </row>
    <row r="17" spans="1:1" ht="15.75" customHeight="1">
      <c r="A17" s="9" t="s">
        <v>118</v>
      </c>
    </row>
    <row r="18" spans="1:1" ht="15.75" customHeight="1">
      <c r="A18" s="9" t="s">
        <v>119</v>
      </c>
    </row>
    <row r="19" spans="1:1" ht="15.75" customHeight="1">
      <c r="A19" s="9" t="s">
        <v>120</v>
      </c>
    </row>
    <row r="20" spans="1:1" ht="15.75" customHeight="1">
      <c r="A20" s="9" t="s">
        <v>121</v>
      </c>
    </row>
    <row r="21" spans="1:1" ht="15.75" customHeight="1">
      <c r="A21" s="9" t="s">
        <v>122</v>
      </c>
    </row>
    <row r="22" spans="1:1" ht="15.75" customHeight="1">
      <c r="A22" s="9" t="s">
        <v>123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4B4A-5A47-4D99-A050-95476161099F}">
  <dimension ref="A1:L23"/>
  <sheetViews>
    <sheetView topLeftCell="H1" workbookViewId="0">
      <selection activeCell="B22" sqref="B22"/>
    </sheetView>
  </sheetViews>
  <sheetFormatPr baseColWidth="10" defaultColWidth="8.83203125" defaultRowHeight="13"/>
  <sheetData>
    <row r="1" spans="1:12" ht="127" thickBot="1">
      <c r="A1" s="9" t="s">
        <v>23</v>
      </c>
      <c r="B1" s="8" t="s">
        <v>102</v>
      </c>
      <c r="C1" s="9" t="s">
        <v>103</v>
      </c>
      <c r="D1" s="8" t="s">
        <v>104</v>
      </c>
      <c r="E1" s="8" t="s">
        <v>45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9" t="s">
        <v>111</v>
      </c>
    </row>
    <row r="2" spans="1:12" ht="29" thickBot="1">
      <c r="A2" s="7">
        <v>0</v>
      </c>
      <c r="B2" s="7">
        <v>0</v>
      </c>
      <c r="C2">
        <f>(A2^2)*0.007479</f>
        <v>0</v>
      </c>
      <c r="D2" s="7">
        <v>21.9</v>
      </c>
      <c r="E2" s="7">
        <v>21.6</v>
      </c>
      <c r="F2" s="7">
        <v>21.6</v>
      </c>
      <c r="G2" s="7">
        <v>21.6</v>
      </c>
      <c r="H2" s="7">
        <v>21.2</v>
      </c>
      <c r="I2" s="7">
        <v>21.4</v>
      </c>
      <c r="J2" s="7">
        <v>21.5</v>
      </c>
      <c r="K2" s="7">
        <v>22.1</v>
      </c>
      <c r="L2" s="8" t="s">
        <v>124</v>
      </c>
    </row>
    <row r="3" spans="1:12" ht="29" thickBot="1">
      <c r="A3" s="7">
        <v>0</v>
      </c>
      <c r="B3" s="7">
        <v>0</v>
      </c>
      <c r="C3">
        <f t="shared" ref="C3:C11" si="0">(A3^2)*0.007479</f>
        <v>0</v>
      </c>
      <c r="D3" s="7">
        <v>16.2</v>
      </c>
      <c r="E3" s="7">
        <v>15.1</v>
      </c>
      <c r="F3" s="7">
        <v>16.2</v>
      </c>
      <c r="G3" s="7">
        <v>16.399999999999999</v>
      </c>
      <c r="H3" s="7">
        <v>14.5</v>
      </c>
      <c r="I3" s="7">
        <v>16</v>
      </c>
      <c r="J3" s="7">
        <v>15.6</v>
      </c>
      <c r="K3" s="7">
        <v>17.600000000000001</v>
      </c>
      <c r="L3" s="8" t="s">
        <v>113</v>
      </c>
    </row>
    <row r="4" spans="1:12" ht="14" thickBot="1">
      <c r="A4" s="7">
        <v>50.11</v>
      </c>
      <c r="B4" s="7">
        <v>0.38400000000000001</v>
      </c>
      <c r="C4">
        <f t="shared" si="0"/>
        <v>18.779859495900002</v>
      </c>
      <c r="D4" s="7">
        <v>17.899999999999999</v>
      </c>
      <c r="E4" s="7">
        <v>17.8</v>
      </c>
      <c r="F4" s="7">
        <v>17.399999999999999</v>
      </c>
      <c r="G4" s="7">
        <v>17.899999999999999</v>
      </c>
      <c r="H4" s="7">
        <v>16.100000000000001</v>
      </c>
      <c r="I4" s="7">
        <v>17.7</v>
      </c>
      <c r="J4" s="7">
        <v>16.7</v>
      </c>
      <c r="K4" s="7">
        <v>18.100000000000001</v>
      </c>
      <c r="L4" s="8"/>
    </row>
    <row r="5" spans="1:12" ht="14" thickBot="1">
      <c r="A5" s="7">
        <v>100.01</v>
      </c>
      <c r="B5" s="7">
        <v>0.77400000000000002</v>
      </c>
      <c r="C5">
        <f t="shared" si="0"/>
        <v>74.804958747900017</v>
      </c>
      <c r="D5" s="7">
        <v>18</v>
      </c>
      <c r="E5" s="7">
        <v>17.899999999999999</v>
      </c>
      <c r="F5" s="7">
        <v>18.3</v>
      </c>
      <c r="G5" s="7">
        <v>18.3</v>
      </c>
      <c r="H5" s="7">
        <v>16.899999999999999</v>
      </c>
      <c r="I5" s="7">
        <v>18.5</v>
      </c>
      <c r="J5" s="7">
        <v>17.2</v>
      </c>
      <c r="K5" s="7">
        <v>18.399999999999999</v>
      </c>
      <c r="L5" s="8"/>
    </row>
    <row r="6" spans="1:12" ht="14" thickBot="1">
      <c r="A6" s="7">
        <v>150.03</v>
      </c>
      <c r="B6" s="7">
        <v>1.169</v>
      </c>
      <c r="C6">
        <f t="shared" si="0"/>
        <v>168.34481773109999</v>
      </c>
      <c r="D6" s="7">
        <v>18</v>
      </c>
      <c r="E6" s="7">
        <v>18</v>
      </c>
      <c r="F6" s="7">
        <v>19.8</v>
      </c>
      <c r="G6" s="7">
        <v>18.899999999999999</v>
      </c>
      <c r="H6" s="7">
        <v>18.2</v>
      </c>
      <c r="I6" s="7">
        <v>19.399999999999999</v>
      </c>
      <c r="J6" s="7">
        <v>17.8</v>
      </c>
      <c r="K6" s="7">
        <v>18.5</v>
      </c>
      <c r="L6" s="8"/>
    </row>
    <row r="7" spans="1:12" ht="14" thickBot="1">
      <c r="A7" s="7">
        <v>200.04</v>
      </c>
      <c r="B7" s="7">
        <v>1.538</v>
      </c>
      <c r="C7">
        <f t="shared" si="0"/>
        <v>299.27967596639996</v>
      </c>
      <c r="D7" s="7">
        <v>18.100000000000001</v>
      </c>
      <c r="E7" s="7">
        <v>18.3</v>
      </c>
      <c r="F7" s="7">
        <v>21.7</v>
      </c>
      <c r="G7" s="7">
        <v>19.8</v>
      </c>
      <c r="H7" s="7">
        <v>20.100000000000001</v>
      </c>
      <c r="I7" s="7">
        <v>21.2</v>
      </c>
      <c r="J7" s="7">
        <v>19.2</v>
      </c>
      <c r="K7" s="7">
        <v>19</v>
      </c>
      <c r="L7" s="8"/>
    </row>
    <row r="8" spans="1:12" ht="14" thickBot="1">
      <c r="A8" s="7">
        <v>250.06</v>
      </c>
      <c r="B8" s="7">
        <v>1.9810000000000001</v>
      </c>
      <c r="C8">
        <f t="shared" si="0"/>
        <v>467.66189692440003</v>
      </c>
      <c r="D8" s="7">
        <v>18.3</v>
      </c>
      <c r="E8" s="7">
        <v>18.5</v>
      </c>
      <c r="F8" s="7">
        <v>24.3</v>
      </c>
      <c r="G8" s="7">
        <v>21.2</v>
      </c>
      <c r="H8" s="7">
        <v>22.5</v>
      </c>
      <c r="I8" s="7">
        <v>23.3</v>
      </c>
      <c r="J8" s="7">
        <v>20.6</v>
      </c>
      <c r="K8" s="7">
        <v>19.5</v>
      </c>
      <c r="L8" s="8"/>
    </row>
    <row r="9" spans="1:12" ht="14" thickBot="1">
      <c r="A9" s="7">
        <v>275.07</v>
      </c>
      <c r="B9" s="7">
        <v>2.1760000000000002</v>
      </c>
      <c r="C9">
        <f t="shared" si="0"/>
        <v>565.88735314710004</v>
      </c>
      <c r="D9" s="7">
        <v>18.2</v>
      </c>
      <c r="E9" s="7">
        <v>18.600000000000001</v>
      </c>
      <c r="F9" s="7">
        <v>24.2</v>
      </c>
      <c r="G9" s="7">
        <v>21.7</v>
      </c>
      <c r="H9" s="7">
        <v>23.5</v>
      </c>
      <c r="I9" s="7">
        <v>24.4</v>
      </c>
      <c r="J9" s="7">
        <v>21.3</v>
      </c>
      <c r="K9" s="7">
        <v>19.399999999999999</v>
      </c>
      <c r="L9" s="8"/>
    </row>
    <row r="10" spans="1:12" ht="14" thickBot="1">
      <c r="A10" s="7">
        <v>300.08</v>
      </c>
      <c r="B10" s="7">
        <v>2.3759999999999999</v>
      </c>
      <c r="C10">
        <f t="shared" si="0"/>
        <v>673.46903986559994</v>
      </c>
      <c r="D10" s="7">
        <v>18.399999999999999</v>
      </c>
      <c r="E10" s="7">
        <v>18.899999999999999</v>
      </c>
      <c r="F10" s="7">
        <v>25.7</v>
      </c>
      <c r="G10" s="7">
        <v>22.5</v>
      </c>
      <c r="H10" s="7">
        <v>25.2</v>
      </c>
      <c r="I10" s="7">
        <v>26</v>
      </c>
      <c r="J10" s="7">
        <v>22.4</v>
      </c>
      <c r="K10" s="7">
        <v>19.899999999999999</v>
      </c>
      <c r="L10" s="8"/>
    </row>
    <row r="11" spans="1:12" ht="14" thickBot="1">
      <c r="A11" s="7">
        <v>330</v>
      </c>
      <c r="B11" s="7">
        <v>2.6970000000000001</v>
      </c>
      <c r="C11">
        <f t="shared" si="0"/>
        <v>814.46310000000005</v>
      </c>
      <c r="D11" s="7">
        <v>18.600000000000001</v>
      </c>
      <c r="E11" s="7">
        <v>19.100000000000001</v>
      </c>
      <c r="F11" s="7">
        <v>27.6</v>
      </c>
      <c r="G11" s="7">
        <v>23.4</v>
      </c>
      <c r="H11" s="7">
        <v>27.2</v>
      </c>
      <c r="I11" s="7">
        <v>28.2</v>
      </c>
      <c r="J11" s="7">
        <v>23.9</v>
      </c>
      <c r="K11" s="7">
        <v>20.2</v>
      </c>
      <c r="L11" s="8"/>
    </row>
    <row r="13" spans="1:12">
      <c r="A13" s="9" t="s">
        <v>114</v>
      </c>
      <c r="D13">
        <f>D11-D3</f>
        <v>2.4000000000000021</v>
      </c>
      <c r="E13">
        <f t="shared" ref="E13:K13" si="1">E11-E3</f>
        <v>4.0000000000000018</v>
      </c>
      <c r="F13">
        <f t="shared" si="1"/>
        <v>11.400000000000002</v>
      </c>
      <c r="G13">
        <f t="shared" si="1"/>
        <v>7</v>
      </c>
      <c r="H13">
        <f t="shared" si="1"/>
        <v>12.7</v>
      </c>
      <c r="I13">
        <f t="shared" si="1"/>
        <v>12.2</v>
      </c>
      <c r="J13">
        <f t="shared" si="1"/>
        <v>8.2999999999999989</v>
      </c>
      <c r="K13">
        <f t="shared" si="1"/>
        <v>2.5999999999999979</v>
      </c>
    </row>
    <row r="14" spans="1:12">
      <c r="A14" s="9" t="s">
        <v>115</v>
      </c>
    </row>
    <row r="16" spans="1:12">
      <c r="A16" s="9" t="s">
        <v>116</v>
      </c>
    </row>
    <row r="17" spans="1:1">
      <c r="A17" s="9" t="s">
        <v>117</v>
      </c>
    </row>
    <row r="18" spans="1:1">
      <c r="A18" s="9" t="s">
        <v>118</v>
      </c>
    </row>
    <row r="19" spans="1:1">
      <c r="A19" s="9" t="s">
        <v>119</v>
      </c>
    </row>
    <row r="20" spans="1:1">
      <c r="A20" s="9" t="s">
        <v>120</v>
      </c>
    </row>
    <row r="21" spans="1:1">
      <c r="A21" s="9" t="s">
        <v>121</v>
      </c>
    </row>
    <row r="22" spans="1:1">
      <c r="A22" s="9" t="s">
        <v>122</v>
      </c>
    </row>
    <row r="23" spans="1:1">
      <c r="A23" s="9" t="s">
        <v>123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474E-CEEB-4935-ADE2-F0C2BA434155}">
  <dimension ref="A1:E19"/>
  <sheetViews>
    <sheetView topLeftCell="A5" zoomScale="83" workbookViewId="0">
      <selection activeCell="G1" sqref="G1"/>
    </sheetView>
  </sheetViews>
  <sheetFormatPr baseColWidth="10" defaultColWidth="8.83203125" defaultRowHeight="13"/>
  <cols>
    <col min="1" max="16384" width="8.83203125" style="16"/>
  </cols>
  <sheetData>
    <row r="1" spans="1:5" ht="64">
      <c r="A1" s="14" t="s">
        <v>125</v>
      </c>
      <c r="B1" s="15" t="s">
        <v>126</v>
      </c>
      <c r="C1" s="15" t="s">
        <v>127</v>
      </c>
      <c r="D1" s="15" t="s">
        <v>128</v>
      </c>
      <c r="E1" s="14" t="s">
        <v>129</v>
      </c>
    </row>
    <row r="2" spans="1:5" ht="29" thickBot="1">
      <c r="A2" s="10" t="s">
        <v>130</v>
      </c>
      <c r="B2" s="10" t="s">
        <v>131</v>
      </c>
      <c r="C2" s="10" t="s">
        <v>132</v>
      </c>
      <c r="D2" s="10" t="s">
        <v>133</v>
      </c>
      <c r="E2" s="10" t="s">
        <v>134</v>
      </c>
    </row>
    <row r="3" spans="1:5" ht="29" thickBot="1">
      <c r="A3" s="11" t="s">
        <v>135</v>
      </c>
      <c r="B3" s="11" t="s">
        <v>136</v>
      </c>
      <c r="C3" s="11" t="s">
        <v>137</v>
      </c>
      <c r="D3" s="11" t="s">
        <v>138</v>
      </c>
      <c r="E3" s="11" t="s">
        <v>139</v>
      </c>
    </row>
    <row r="4" spans="1:5" ht="29" thickBot="1">
      <c r="A4" s="11" t="s">
        <v>140</v>
      </c>
      <c r="B4" s="11" t="s">
        <v>141</v>
      </c>
      <c r="C4" s="11" t="s">
        <v>142</v>
      </c>
      <c r="D4" s="11" t="s">
        <v>143</v>
      </c>
      <c r="E4" s="11" t="s">
        <v>144</v>
      </c>
    </row>
    <row r="5" spans="1:5" ht="29" thickBot="1">
      <c r="A5" s="11" t="s">
        <v>145</v>
      </c>
      <c r="B5" s="11" t="s">
        <v>146</v>
      </c>
      <c r="C5" s="11" t="s">
        <v>147</v>
      </c>
      <c r="D5" s="12" t="s">
        <v>148</v>
      </c>
      <c r="E5" s="11" t="s">
        <v>149</v>
      </c>
    </row>
    <row r="6" spans="1:5" ht="29" thickBot="1">
      <c r="A6" s="11" t="s">
        <v>150</v>
      </c>
      <c r="B6" s="11" t="s">
        <v>151</v>
      </c>
      <c r="C6" s="11" t="s">
        <v>152</v>
      </c>
      <c r="D6" s="11" t="s">
        <v>138</v>
      </c>
      <c r="E6" s="11" t="s">
        <v>153</v>
      </c>
    </row>
    <row r="7" spans="1:5" ht="29" thickBot="1">
      <c r="A7" s="11" t="s">
        <v>154</v>
      </c>
      <c r="B7" s="11" t="s">
        <v>155</v>
      </c>
      <c r="C7" s="11" t="s">
        <v>156</v>
      </c>
      <c r="D7" s="11" t="s">
        <v>138</v>
      </c>
      <c r="E7" s="11" t="s">
        <v>157</v>
      </c>
    </row>
    <row r="8" spans="1:5" ht="29" thickBot="1">
      <c r="A8" s="11" t="s">
        <v>158</v>
      </c>
      <c r="B8" s="11" t="s">
        <v>159</v>
      </c>
      <c r="C8" s="11" t="s">
        <v>160</v>
      </c>
      <c r="D8" s="11" t="s">
        <v>138</v>
      </c>
      <c r="E8" s="11" t="s">
        <v>161</v>
      </c>
    </row>
    <row r="9" spans="1:5" ht="29" thickBot="1">
      <c r="A9" s="11" t="s">
        <v>162</v>
      </c>
      <c r="B9" s="11" t="s">
        <v>163</v>
      </c>
      <c r="C9" s="11" t="s">
        <v>164</v>
      </c>
      <c r="D9" s="11" t="s">
        <v>138</v>
      </c>
      <c r="E9" s="11" t="s">
        <v>165</v>
      </c>
    </row>
    <row r="10" spans="1:5" ht="29" thickBot="1">
      <c r="A10" s="11" t="s">
        <v>166</v>
      </c>
      <c r="B10" s="11" t="s">
        <v>167</v>
      </c>
      <c r="C10" s="11" t="s">
        <v>168</v>
      </c>
      <c r="D10" s="11" t="s">
        <v>169</v>
      </c>
      <c r="E10" s="11" t="s">
        <v>170</v>
      </c>
    </row>
    <row r="11" spans="1:5" ht="29" thickBot="1">
      <c r="A11" s="11" t="s">
        <v>171</v>
      </c>
      <c r="B11" s="11" t="s">
        <v>172</v>
      </c>
      <c r="C11" s="11" t="s">
        <v>173</v>
      </c>
      <c r="D11" s="11" t="s">
        <v>138</v>
      </c>
      <c r="E11" s="11" t="s">
        <v>174</v>
      </c>
    </row>
    <row r="12" spans="1:5" ht="29" thickBot="1">
      <c r="A12" s="11" t="s">
        <v>175</v>
      </c>
      <c r="B12" s="11" t="s">
        <v>176</v>
      </c>
      <c r="C12" s="11" t="s">
        <v>177</v>
      </c>
      <c r="D12" s="11" t="s">
        <v>138</v>
      </c>
      <c r="E12" s="11" t="s">
        <v>178</v>
      </c>
    </row>
    <row r="13" spans="1:5" ht="29" thickBot="1">
      <c r="A13" s="11" t="s">
        <v>179</v>
      </c>
      <c r="B13" s="11" t="s">
        <v>180</v>
      </c>
      <c r="C13" s="11" t="s">
        <v>181</v>
      </c>
      <c r="D13" s="11" t="s">
        <v>138</v>
      </c>
      <c r="E13" s="11" t="s">
        <v>182</v>
      </c>
    </row>
    <row r="14" spans="1:5" ht="29" thickBot="1">
      <c r="A14" s="11" t="s">
        <v>183</v>
      </c>
      <c r="B14" s="11" t="s">
        <v>184</v>
      </c>
      <c r="C14" s="11" t="s">
        <v>185</v>
      </c>
      <c r="D14" s="11" t="s">
        <v>186</v>
      </c>
      <c r="E14" s="11" t="s">
        <v>187</v>
      </c>
    </row>
    <row r="15" spans="1:5" ht="29" thickBot="1">
      <c r="A15" s="12" t="s">
        <v>188</v>
      </c>
      <c r="B15" s="11" t="s">
        <v>189</v>
      </c>
      <c r="C15" s="12" t="s">
        <v>190</v>
      </c>
      <c r="D15" s="12" t="s">
        <v>191</v>
      </c>
      <c r="E15" s="11" t="s">
        <v>192</v>
      </c>
    </row>
    <row r="16" spans="1:5" ht="28">
      <c r="A16" s="13" t="s">
        <v>193</v>
      </c>
      <c r="B16" s="17" t="s">
        <v>194</v>
      </c>
      <c r="C16" s="13" t="s">
        <v>195</v>
      </c>
      <c r="D16" s="13" t="s">
        <v>186</v>
      </c>
      <c r="E16" s="17" t="s">
        <v>196</v>
      </c>
    </row>
    <row r="18" spans="1:3" ht="28">
      <c r="A18" s="9" t="s">
        <v>197</v>
      </c>
      <c r="B18"/>
      <c r="C18" s="16" t="s">
        <v>198</v>
      </c>
    </row>
    <row r="19" spans="1:3" ht="28">
      <c r="A19" s="9" t="s">
        <v>199</v>
      </c>
      <c r="C19" s="14" t="s">
        <v>200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9083-4988-430D-922D-F798FD559F69}">
  <dimension ref="A1:J18"/>
  <sheetViews>
    <sheetView workbookViewId="0">
      <selection activeCell="J18" sqref="A12:J18"/>
    </sheetView>
  </sheetViews>
  <sheetFormatPr baseColWidth="10" defaultColWidth="8.83203125" defaultRowHeight="13"/>
  <sheetData>
    <row r="1" spans="1:10" ht="29" thickBot="1">
      <c r="A1" s="8" t="s">
        <v>23</v>
      </c>
      <c r="B1" s="8" t="s">
        <v>102</v>
      </c>
      <c r="C1" s="8" t="s">
        <v>104</v>
      </c>
      <c r="D1" s="8" t="s">
        <v>45</v>
      </c>
      <c r="E1" s="8" t="s">
        <v>201</v>
      </c>
      <c r="F1" s="8" t="s">
        <v>106</v>
      </c>
      <c r="G1" s="8" t="s">
        <v>107</v>
      </c>
      <c r="H1" s="8" t="s">
        <v>202</v>
      </c>
      <c r="I1" s="8" t="s">
        <v>109</v>
      </c>
      <c r="J1" s="8" t="s">
        <v>110</v>
      </c>
    </row>
    <row r="2" spans="1:10" ht="14" thickBot="1">
      <c r="A2" s="7">
        <v>0</v>
      </c>
      <c r="B2" s="7">
        <v>0</v>
      </c>
      <c r="C2" s="7">
        <v>17.7</v>
      </c>
      <c r="D2" s="7">
        <v>16.5</v>
      </c>
      <c r="E2" s="7">
        <v>16.5</v>
      </c>
      <c r="F2" s="7">
        <v>17.8</v>
      </c>
      <c r="G2" s="7">
        <v>16.600000000000001</v>
      </c>
      <c r="H2" s="7">
        <v>16.5</v>
      </c>
      <c r="I2" s="7">
        <v>16.399999999999999</v>
      </c>
      <c r="J2" s="7">
        <v>17.399999999999999</v>
      </c>
    </row>
    <row r="3" spans="1:10" ht="14" thickBot="1">
      <c r="A3" s="7">
        <v>49.99</v>
      </c>
      <c r="B3" s="7">
        <v>0.48399999999999999</v>
      </c>
      <c r="C3" s="7">
        <v>18.399999999999999</v>
      </c>
      <c r="D3" s="7">
        <v>16.8</v>
      </c>
      <c r="E3" s="7">
        <v>16.899999999999999</v>
      </c>
      <c r="F3" s="7">
        <v>18.899999999999999</v>
      </c>
      <c r="G3" s="7">
        <v>17.2</v>
      </c>
      <c r="H3" s="7">
        <v>17.399999999999999</v>
      </c>
      <c r="I3" s="7">
        <v>16.8</v>
      </c>
      <c r="J3" s="7">
        <v>18.5</v>
      </c>
    </row>
    <row r="4" spans="1:10" ht="14" thickBot="1">
      <c r="A4" s="7">
        <v>100.01</v>
      </c>
      <c r="B4" s="7">
        <v>0.9</v>
      </c>
      <c r="C4" s="7">
        <v>17.600000000000001</v>
      </c>
      <c r="D4" s="7">
        <v>16.8</v>
      </c>
      <c r="E4" s="7">
        <v>16.899999999999999</v>
      </c>
      <c r="F4" s="7">
        <v>17.7</v>
      </c>
      <c r="G4" s="7">
        <v>18.8</v>
      </c>
      <c r="H4" s="7">
        <v>17.5</v>
      </c>
      <c r="I4" s="7">
        <v>17.399999999999999</v>
      </c>
      <c r="J4" s="7">
        <v>18.899999999999999</v>
      </c>
    </row>
    <row r="5" spans="1:10" ht="14" thickBot="1">
      <c r="A5" s="7">
        <v>150.03</v>
      </c>
      <c r="B5" s="7">
        <v>1.3</v>
      </c>
      <c r="C5" s="7">
        <v>18.8</v>
      </c>
      <c r="D5" s="7">
        <v>17.100000000000001</v>
      </c>
      <c r="E5" s="7">
        <v>17.3</v>
      </c>
      <c r="F5" s="7">
        <v>18.399999999999999</v>
      </c>
      <c r="G5" s="7">
        <v>21</v>
      </c>
      <c r="H5" s="7">
        <v>18.8</v>
      </c>
      <c r="I5" s="7">
        <v>18.600000000000001</v>
      </c>
      <c r="J5" s="7">
        <v>19.100000000000001</v>
      </c>
    </row>
    <row r="6" spans="1:10" ht="14" thickBot="1">
      <c r="A6" s="7">
        <v>200.04</v>
      </c>
      <c r="B6" s="7">
        <v>1.7250000000000001</v>
      </c>
      <c r="C6" s="7">
        <v>17.8</v>
      </c>
      <c r="D6" s="7">
        <v>17.399999999999999</v>
      </c>
      <c r="E6" s="7">
        <v>17.3</v>
      </c>
      <c r="F6" s="7">
        <v>18.7</v>
      </c>
      <c r="G6" s="7">
        <v>24</v>
      </c>
      <c r="H6" s="7">
        <v>20.399999999999999</v>
      </c>
      <c r="I6" s="7">
        <v>20</v>
      </c>
      <c r="J6" s="7">
        <v>19.100000000000001</v>
      </c>
    </row>
    <row r="7" spans="1:10" ht="14" thickBot="1">
      <c r="A7" s="7">
        <v>250.06</v>
      </c>
      <c r="B7" s="7">
        <v>2.1419999999999999</v>
      </c>
      <c r="C7" s="7">
        <v>18.100000000000001</v>
      </c>
      <c r="D7" s="7">
        <v>17.5</v>
      </c>
      <c r="E7" s="7">
        <v>17.399999999999999</v>
      </c>
      <c r="F7" s="7">
        <v>19.600000000000001</v>
      </c>
      <c r="G7" s="7">
        <v>27.9</v>
      </c>
      <c r="H7" s="7">
        <v>22.5</v>
      </c>
      <c r="I7" s="7">
        <v>22</v>
      </c>
      <c r="J7" s="7">
        <v>19.399999999999999</v>
      </c>
    </row>
    <row r="8" spans="1:10" ht="14" thickBot="1">
      <c r="A8" s="7">
        <v>275.07</v>
      </c>
      <c r="B8" s="7">
        <v>2.3719999999999999</v>
      </c>
      <c r="C8" s="7">
        <v>18.100000000000001</v>
      </c>
      <c r="D8" s="7">
        <v>17.600000000000001</v>
      </c>
      <c r="E8" s="7">
        <v>17.399999999999999</v>
      </c>
      <c r="F8" s="7">
        <v>19.899999999999999</v>
      </c>
      <c r="G8" s="7">
        <v>30</v>
      </c>
      <c r="H8" s="7">
        <v>23.9</v>
      </c>
      <c r="I8" s="7">
        <v>23.5</v>
      </c>
      <c r="J8" s="7">
        <v>18.399999999999999</v>
      </c>
    </row>
    <row r="9" spans="1:10" ht="14" thickBot="1">
      <c r="A9" s="7">
        <v>300.08</v>
      </c>
      <c r="B9" s="7">
        <v>2.593</v>
      </c>
      <c r="C9" s="7">
        <v>19.100000000000001</v>
      </c>
      <c r="D9" s="7">
        <v>19.2</v>
      </c>
      <c r="E9" s="7">
        <v>18.3</v>
      </c>
      <c r="F9" s="7">
        <v>20.7</v>
      </c>
      <c r="G9" s="7">
        <v>32.5</v>
      </c>
      <c r="H9" s="7">
        <v>28.7</v>
      </c>
      <c r="I9" s="7">
        <v>25.2</v>
      </c>
      <c r="J9" s="7">
        <v>19.7</v>
      </c>
    </row>
    <row r="10" spans="1:10" ht="14" thickBot="1">
      <c r="A10" s="7">
        <v>330.02</v>
      </c>
      <c r="B10" s="7">
        <v>2.867</v>
      </c>
      <c r="C10" s="7">
        <v>19.3</v>
      </c>
      <c r="D10" s="7">
        <v>19.600000000000001</v>
      </c>
      <c r="E10" s="7">
        <v>18.5</v>
      </c>
      <c r="F10" s="7">
        <v>21.3</v>
      </c>
      <c r="G10" s="7">
        <v>35.6</v>
      </c>
      <c r="H10" s="7">
        <v>31.1</v>
      </c>
      <c r="I10" s="7">
        <v>27.2</v>
      </c>
      <c r="J10" s="7">
        <v>19.8</v>
      </c>
    </row>
    <row r="12" spans="1:10">
      <c r="A12" s="9" t="s">
        <v>203</v>
      </c>
      <c r="C12">
        <f>C10-C2</f>
        <v>1.6000000000000014</v>
      </c>
      <c r="D12">
        <f t="shared" ref="D12:J12" si="0">D10-D2</f>
        <v>3.1000000000000014</v>
      </c>
      <c r="E12">
        <f t="shared" si="0"/>
        <v>2</v>
      </c>
      <c r="F12">
        <f t="shared" si="0"/>
        <v>3.5</v>
      </c>
      <c r="G12">
        <f t="shared" si="0"/>
        <v>19</v>
      </c>
      <c r="H12">
        <f t="shared" si="0"/>
        <v>14.600000000000001</v>
      </c>
      <c r="I12">
        <f t="shared" si="0"/>
        <v>10.8</v>
      </c>
      <c r="J12">
        <f t="shared" si="0"/>
        <v>2.4000000000000021</v>
      </c>
    </row>
    <row r="15" spans="1:10">
      <c r="A15" s="9" t="s">
        <v>204</v>
      </c>
      <c r="C15" t="s">
        <v>205</v>
      </c>
    </row>
    <row r="16" spans="1:10">
      <c r="A16" t="s">
        <v>206</v>
      </c>
      <c r="C16" t="s">
        <v>207</v>
      </c>
    </row>
    <row r="17" spans="1:3">
      <c r="A17" t="s">
        <v>208</v>
      </c>
    </row>
    <row r="18" spans="1:3">
      <c r="A18" t="s">
        <v>209</v>
      </c>
      <c r="C18" s="9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50B2-6922-4256-888D-85ECCAC94D09}">
  <dimension ref="A1:L19"/>
  <sheetViews>
    <sheetView workbookViewId="0">
      <selection activeCell="F10" sqref="F10"/>
    </sheetView>
  </sheetViews>
  <sheetFormatPr baseColWidth="10" defaultColWidth="8.83203125" defaultRowHeight="13"/>
  <sheetData>
    <row r="1" spans="1:12" ht="14" thickBot="1"/>
    <row r="2" spans="1:12" ht="57" thickBot="1">
      <c r="A2" s="8" t="s">
        <v>211</v>
      </c>
      <c r="B2" s="9" t="s">
        <v>212</v>
      </c>
      <c r="C2" s="8" t="s">
        <v>213</v>
      </c>
      <c r="D2" s="8" t="s">
        <v>104</v>
      </c>
      <c r="E2" s="8" t="s">
        <v>45</v>
      </c>
      <c r="F2" s="8" t="s">
        <v>105</v>
      </c>
      <c r="G2" s="8" t="s">
        <v>106</v>
      </c>
      <c r="H2" s="8" t="s">
        <v>107</v>
      </c>
      <c r="I2" s="8" t="s">
        <v>202</v>
      </c>
      <c r="J2" s="8" t="s">
        <v>109</v>
      </c>
      <c r="K2" s="8" t="s">
        <v>110</v>
      </c>
      <c r="L2" s="8"/>
    </row>
    <row r="3" spans="1:12" ht="29" thickBot="1">
      <c r="A3" s="7">
        <v>0</v>
      </c>
      <c r="B3">
        <f>0.00729*A3^2</f>
        <v>0</v>
      </c>
      <c r="C3" s="7">
        <v>0</v>
      </c>
      <c r="D3" s="7">
        <v>21</v>
      </c>
      <c r="E3" s="7">
        <v>20.9</v>
      </c>
      <c r="F3" s="7">
        <v>20.9</v>
      </c>
      <c r="G3" s="7">
        <v>21</v>
      </c>
      <c r="H3" s="7">
        <v>20.9</v>
      </c>
      <c r="I3" s="7">
        <v>20.9</v>
      </c>
      <c r="J3" s="7">
        <v>21</v>
      </c>
      <c r="K3" s="7">
        <v>21.8</v>
      </c>
      <c r="L3" s="8" t="s">
        <v>124</v>
      </c>
    </row>
    <row r="4" spans="1:12" ht="29" thickBot="1">
      <c r="A4" s="7">
        <v>0</v>
      </c>
      <c r="B4">
        <f t="shared" ref="B4:B11" si="0">0.00729*A4^2</f>
        <v>0</v>
      </c>
      <c r="C4" s="7">
        <v>0</v>
      </c>
      <c r="D4" s="7">
        <v>15.9</v>
      </c>
      <c r="E4" s="7">
        <v>15</v>
      </c>
      <c r="F4" s="7">
        <v>15.5</v>
      </c>
      <c r="G4" s="7">
        <v>15.1</v>
      </c>
      <c r="H4" s="7">
        <v>15.4</v>
      </c>
      <c r="I4" s="7">
        <v>15.6</v>
      </c>
      <c r="J4" s="7">
        <v>14.9</v>
      </c>
      <c r="K4" s="7">
        <v>16.399999999999999</v>
      </c>
      <c r="L4" s="8" t="s">
        <v>113</v>
      </c>
    </row>
    <row r="5" spans="1:12" ht="14" thickBot="1">
      <c r="A5" s="7">
        <v>50.11</v>
      </c>
      <c r="B5">
        <f t="shared" si="0"/>
        <v>18.305278208999997</v>
      </c>
      <c r="C5" s="7">
        <v>0.48399999999999999</v>
      </c>
      <c r="D5" s="7">
        <v>16.399999999999999</v>
      </c>
      <c r="E5" s="7">
        <v>15.9</v>
      </c>
      <c r="F5" s="7">
        <v>17</v>
      </c>
      <c r="G5" s="7">
        <v>16.2</v>
      </c>
      <c r="H5" s="7">
        <v>16.5</v>
      </c>
      <c r="I5" s="7">
        <v>17</v>
      </c>
      <c r="J5" s="7">
        <v>15.5</v>
      </c>
      <c r="K5" s="7">
        <v>17.600000000000001</v>
      </c>
      <c r="L5" s="8"/>
    </row>
    <row r="6" spans="1:12" ht="14" thickBot="1">
      <c r="A6" s="7">
        <v>100.01</v>
      </c>
      <c r="B6">
        <f t="shared" si="0"/>
        <v>72.914580729000008</v>
      </c>
      <c r="C6" s="7">
        <v>0.89200000000000002</v>
      </c>
      <c r="D6" s="7">
        <v>16.5</v>
      </c>
      <c r="E6" s="7">
        <v>16.3</v>
      </c>
      <c r="F6" s="7">
        <v>18.899999999999999</v>
      </c>
      <c r="G6" s="7">
        <v>16.600000000000001</v>
      </c>
      <c r="H6" s="7">
        <v>17.7</v>
      </c>
      <c r="I6" s="7">
        <v>18.100000000000001</v>
      </c>
      <c r="J6" s="7">
        <v>16</v>
      </c>
      <c r="K6" s="7">
        <v>17.7</v>
      </c>
      <c r="L6" s="8"/>
    </row>
    <row r="7" spans="1:12" ht="14" thickBot="1">
      <c r="A7" s="7">
        <v>150.03</v>
      </c>
      <c r="B7">
        <f t="shared" si="0"/>
        <v>164.09061656099999</v>
      </c>
      <c r="C7" s="7">
        <v>1.3129999999999999</v>
      </c>
      <c r="D7" s="7">
        <v>16.600000000000001</v>
      </c>
      <c r="E7" s="7">
        <v>16.8</v>
      </c>
      <c r="F7" s="7">
        <v>21</v>
      </c>
      <c r="G7" s="7">
        <v>17.100000000000001</v>
      </c>
      <c r="H7" s="7">
        <v>19.8</v>
      </c>
      <c r="I7" s="7">
        <v>19.5</v>
      </c>
      <c r="J7" s="7">
        <v>16.7</v>
      </c>
      <c r="K7" s="7">
        <v>18.100000000000001</v>
      </c>
      <c r="L7" s="8"/>
    </row>
    <row r="8" spans="1:12" ht="14" thickBot="1">
      <c r="A8" s="7">
        <v>200.04</v>
      </c>
      <c r="B8">
        <f t="shared" si="0"/>
        <v>291.71665166399998</v>
      </c>
      <c r="C8" s="7">
        <v>1.7210000000000001</v>
      </c>
      <c r="D8" s="7">
        <v>16.8</v>
      </c>
      <c r="E8" s="7">
        <v>17.600000000000001</v>
      </c>
      <c r="F8" s="7">
        <v>23.9</v>
      </c>
      <c r="G8" s="7">
        <v>18</v>
      </c>
      <c r="H8" s="7">
        <v>22.6</v>
      </c>
      <c r="I8" s="7">
        <v>21.7</v>
      </c>
      <c r="J8" s="7">
        <v>17.8</v>
      </c>
      <c r="K8" s="7">
        <v>18.5</v>
      </c>
      <c r="L8" s="8"/>
    </row>
    <row r="9" spans="1:12" ht="14" thickBot="1">
      <c r="A9" s="7">
        <v>250.06</v>
      </c>
      <c r="B9">
        <f t="shared" si="0"/>
        <v>455.84372624399998</v>
      </c>
      <c r="C9" s="7">
        <v>2.1459999999999999</v>
      </c>
      <c r="D9" s="7">
        <v>17</v>
      </c>
      <c r="E9" s="7">
        <v>18.399999999999999</v>
      </c>
      <c r="F9" s="7">
        <v>27</v>
      </c>
      <c r="G9" s="7">
        <v>19.100000000000001</v>
      </c>
      <c r="H9" s="7">
        <v>26.4</v>
      </c>
      <c r="I9" s="7">
        <v>24.7</v>
      </c>
      <c r="J9" s="7">
        <v>19.3</v>
      </c>
      <c r="K9" s="7">
        <v>19.2</v>
      </c>
      <c r="L9" s="8"/>
    </row>
    <row r="10" spans="1:12" ht="14" thickBot="1">
      <c r="A10" s="7">
        <v>275.07</v>
      </c>
      <c r="B10">
        <f t="shared" si="0"/>
        <v>551.58695072099999</v>
      </c>
      <c r="C10" s="7">
        <v>2.363</v>
      </c>
      <c r="D10" s="7">
        <v>17.2</v>
      </c>
      <c r="E10" s="7">
        <v>18.7</v>
      </c>
      <c r="F10" s="7">
        <v>28.2</v>
      </c>
      <c r="G10" s="7">
        <v>19.5</v>
      </c>
      <c r="H10" s="7">
        <v>28.2</v>
      </c>
      <c r="I10" s="7">
        <v>26.2</v>
      </c>
      <c r="J10" s="7">
        <v>19.5</v>
      </c>
      <c r="K10" s="7">
        <v>19.2</v>
      </c>
      <c r="L10" s="8"/>
    </row>
    <row r="11" spans="1:12" ht="14" thickBot="1">
      <c r="A11" s="7">
        <v>300.08</v>
      </c>
      <c r="B11">
        <f t="shared" si="0"/>
        <v>656.4499666559999</v>
      </c>
      <c r="C11" s="7">
        <v>2.5710000000000002</v>
      </c>
      <c r="D11" s="7">
        <v>17.100000000000001</v>
      </c>
      <c r="E11" s="7">
        <v>19.3</v>
      </c>
      <c r="F11" s="7">
        <v>29.8</v>
      </c>
      <c r="G11" s="7">
        <v>20.3</v>
      </c>
      <c r="H11" s="7">
        <v>30.8</v>
      </c>
      <c r="I11" s="7">
        <v>28.5</v>
      </c>
      <c r="J11" s="7">
        <v>20.9</v>
      </c>
      <c r="K11" s="7">
        <v>19.899999999999999</v>
      </c>
      <c r="L11" s="8"/>
    </row>
    <row r="13" spans="1:12">
      <c r="A13" s="9" t="s">
        <v>203</v>
      </c>
      <c r="D13">
        <f>D11-D4</f>
        <v>1.2000000000000011</v>
      </c>
      <c r="E13">
        <f t="shared" ref="E13:J13" si="1">E11-E4</f>
        <v>4.3000000000000007</v>
      </c>
      <c r="F13">
        <f t="shared" si="1"/>
        <v>14.3</v>
      </c>
      <c r="G13">
        <f t="shared" si="1"/>
        <v>5.2000000000000011</v>
      </c>
      <c r="H13">
        <f t="shared" si="1"/>
        <v>15.4</v>
      </c>
      <c r="I13">
        <f t="shared" si="1"/>
        <v>12.9</v>
      </c>
      <c r="J13">
        <f t="shared" si="1"/>
        <v>5.9999999999999982</v>
      </c>
      <c r="K13">
        <f>K11-K4</f>
        <v>3.5</v>
      </c>
    </row>
    <row r="16" spans="1:12">
      <c r="A16" s="9" t="s">
        <v>204</v>
      </c>
      <c r="C16" t="s">
        <v>205</v>
      </c>
    </row>
    <row r="17" spans="1:3">
      <c r="A17" t="s">
        <v>206</v>
      </c>
      <c r="C17" t="s">
        <v>207</v>
      </c>
    </row>
    <row r="18" spans="1:3">
      <c r="A18" t="s">
        <v>208</v>
      </c>
    </row>
    <row r="19" spans="1:3">
      <c r="A19" t="s">
        <v>209</v>
      </c>
      <c r="C19" s="9" t="s">
        <v>210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FF52-7A83-41E4-B248-BDC8EA831C0B}">
  <dimension ref="A1:D36"/>
  <sheetViews>
    <sheetView workbookViewId="0">
      <selection activeCell="C12" sqref="C12"/>
    </sheetView>
  </sheetViews>
  <sheetFormatPr baseColWidth="10" defaultColWidth="8.83203125" defaultRowHeight="13"/>
  <sheetData>
    <row r="1" spans="1:4" ht="29" thickBot="1">
      <c r="A1" s="8" t="s">
        <v>77</v>
      </c>
      <c r="B1" s="8" t="s">
        <v>222</v>
      </c>
      <c r="D1" s="18" t="s">
        <v>223</v>
      </c>
    </row>
    <row r="2" spans="1:4" ht="15" thickBot="1">
      <c r="A2" s="8" t="s">
        <v>45</v>
      </c>
      <c r="B2" s="7">
        <v>0</v>
      </c>
      <c r="D2" s="7">
        <v>0</v>
      </c>
    </row>
    <row r="3" spans="1:4" ht="15" thickBot="1">
      <c r="A3" s="8" t="s">
        <v>224</v>
      </c>
      <c r="B3" s="7">
        <v>7.1999999999999995E-2</v>
      </c>
      <c r="D3" s="7">
        <v>7.1999999999999995E-2</v>
      </c>
    </row>
    <row r="4" spans="1:4" ht="15" thickBot="1">
      <c r="A4" s="8" t="s">
        <v>107</v>
      </c>
      <c r="B4" s="7">
        <v>0.19600000000000001</v>
      </c>
      <c r="D4" s="7">
        <v>0.124</v>
      </c>
    </row>
    <row r="5" spans="1:4" ht="14" thickBot="1">
      <c r="A5" s="7">
        <v>1</v>
      </c>
      <c r="B5" s="7">
        <v>0.33600000000000002</v>
      </c>
      <c r="D5" s="7">
        <v>0.14000000000000001</v>
      </c>
    </row>
    <row r="6" spans="1:4" ht="14" thickBot="1">
      <c r="A6" s="7">
        <v>2</v>
      </c>
      <c r="B6" s="7">
        <v>0.56799999999999995</v>
      </c>
      <c r="D6" s="7">
        <v>0.23200000000000001</v>
      </c>
    </row>
    <row r="7" spans="1:4" ht="14" thickBot="1">
      <c r="A7" s="7">
        <v>3</v>
      </c>
      <c r="B7" s="7">
        <v>0.82499999999999996</v>
      </c>
      <c r="D7" s="7">
        <v>0.25700000000000001</v>
      </c>
    </row>
    <row r="8" spans="1:4" ht="14" thickBot="1">
      <c r="A8" s="7">
        <v>4</v>
      </c>
      <c r="B8" s="7">
        <v>1.18</v>
      </c>
      <c r="D8" s="7">
        <v>0.35499999999999998</v>
      </c>
    </row>
    <row r="9" spans="1:4" ht="14" thickBot="1">
      <c r="A9" s="7">
        <v>5</v>
      </c>
      <c r="B9" s="7">
        <v>1.35</v>
      </c>
      <c r="D9" s="7">
        <v>0.17</v>
      </c>
    </row>
    <row r="10" spans="1:4" ht="14" thickBot="1">
      <c r="A10" s="7">
        <v>6</v>
      </c>
      <c r="B10" s="7">
        <v>1.8919999999999999</v>
      </c>
      <c r="D10" s="7">
        <v>0.54200000000000004</v>
      </c>
    </row>
    <row r="11" spans="1:4" ht="14" thickBot="1">
      <c r="A11" s="7">
        <v>7</v>
      </c>
      <c r="B11" s="7">
        <v>2.1259999999999999</v>
      </c>
      <c r="D11" s="7">
        <v>0.23400000000000001</v>
      </c>
    </row>
    <row r="12" spans="1:4" ht="14" thickBot="1">
      <c r="A12" s="7">
        <v>8</v>
      </c>
      <c r="B12" s="7">
        <v>2.375</v>
      </c>
      <c r="D12" s="7">
        <v>0.249</v>
      </c>
    </row>
    <row r="13" spans="1:4" ht="14" thickBot="1">
      <c r="A13" s="7">
        <v>9</v>
      </c>
      <c r="B13" s="7">
        <v>2.589</v>
      </c>
      <c r="D13" s="7">
        <v>0.214</v>
      </c>
    </row>
    <row r="14" spans="1:4" ht="14" thickBot="1">
      <c r="A14" s="7">
        <v>10</v>
      </c>
      <c r="B14" s="7">
        <v>2.8450000000000002</v>
      </c>
      <c r="D14" s="7">
        <v>0.25600000000000001</v>
      </c>
    </row>
    <row r="15" spans="1:4" ht="14" thickBot="1">
      <c r="A15" s="7">
        <v>11</v>
      </c>
      <c r="B15" s="7">
        <v>3.1320000000000001</v>
      </c>
      <c r="D15" s="7">
        <v>0.28699999999999998</v>
      </c>
    </row>
    <row r="16" spans="1:4" ht="14" thickBot="1">
      <c r="A16" s="7">
        <v>12</v>
      </c>
      <c r="B16" s="7">
        <v>3.4620000000000002</v>
      </c>
      <c r="D16" s="7">
        <v>0.33</v>
      </c>
    </row>
    <row r="17" spans="1:4" ht="14" thickBot="1">
      <c r="A17" s="7">
        <v>13</v>
      </c>
      <c r="B17" s="7">
        <v>3.7480000000000002</v>
      </c>
      <c r="D17" s="7">
        <v>0.28599999999999998</v>
      </c>
    </row>
    <row r="18" spans="1:4" ht="14" thickBot="1">
      <c r="A18" s="7">
        <v>14</v>
      </c>
      <c r="B18" s="7">
        <v>4.0209999999999999</v>
      </c>
      <c r="D18" s="7">
        <v>0.27300000000000002</v>
      </c>
    </row>
    <row r="19" spans="1:4" ht="14" thickBot="1">
      <c r="A19" s="7">
        <v>15</v>
      </c>
      <c r="B19" s="7">
        <v>4.2770000000000001</v>
      </c>
      <c r="D19" s="7">
        <v>0.25600000000000001</v>
      </c>
    </row>
    <row r="20" spans="1:4" ht="14" thickBot="1">
      <c r="A20" s="7">
        <v>16</v>
      </c>
      <c r="B20" s="7">
        <v>4.4980000000000002</v>
      </c>
      <c r="D20" s="7">
        <v>0.221</v>
      </c>
    </row>
    <row r="21" spans="1:4" ht="14" thickBot="1">
      <c r="A21" s="7">
        <v>17</v>
      </c>
      <c r="B21" s="7">
        <v>4.7370000000000001</v>
      </c>
      <c r="D21" s="7">
        <v>0.23899999999999999</v>
      </c>
    </row>
    <row r="22" spans="1:4" ht="14" thickBot="1">
      <c r="A22" s="7">
        <v>18</v>
      </c>
      <c r="B22" s="7">
        <v>4.9980000000000002</v>
      </c>
      <c r="D22" s="7">
        <v>0.26100000000000001</v>
      </c>
    </row>
    <row r="23" spans="1:4" ht="14" thickBot="1">
      <c r="A23" s="7">
        <v>19</v>
      </c>
      <c r="B23" s="7">
        <v>5.2910000000000004</v>
      </c>
      <c r="D23" s="7">
        <v>0.29299999999999998</v>
      </c>
    </row>
    <row r="24" spans="1:4" ht="14" thickBot="1">
      <c r="A24" s="7">
        <v>20</v>
      </c>
      <c r="B24" s="7">
        <v>5.6239999999999997</v>
      </c>
      <c r="D24" s="7">
        <v>0.33300000000000002</v>
      </c>
    </row>
    <row r="25" spans="1:4" ht="14" thickBot="1">
      <c r="A25" s="7">
        <v>21</v>
      </c>
      <c r="B25" s="7">
        <v>6.12</v>
      </c>
      <c r="D25" s="7">
        <v>0.496</v>
      </c>
    </row>
    <row r="26" spans="1:4" ht="14" thickBot="1">
      <c r="A26" s="7">
        <v>22</v>
      </c>
      <c r="B26" s="7">
        <v>6.4059999999999997</v>
      </c>
      <c r="D26" s="7">
        <v>0.28599999999999998</v>
      </c>
    </row>
    <row r="27" spans="1:4" ht="14" thickBot="1">
      <c r="A27" s="7">
        <v>23</v>
      </c>
      <c r="B27" s="7">
        <v>6.6449999999999996</v>
      </c>
      <c r="D27" s="7">
        <v>0.23899999999999999</v>
      </c>
    </row>
    <row r="28" spans="1:4" ht="14" thickBot="1">
      <c r="A28" s="7">
        <v>24</v>
      </c>
      <c r="B28" s="7">
        <v>6.9169999999999998</v>
      </c>
      <c r="D28" s="7">
        <v>0.27200000000000002</v>
      </c>
    </row>
    <row r="29" spans="1:4" ht="14" thickBot="1">
      <c r="A29" s="7">
        <v>25</v>
      </c>
      <c r="B29" s="7">
        <v>7.226</v>
      </c>
      <c r="D29" s="7">
        <v>0.309</v>
      </c>
    </row>
    <row r="30" spans="1:4" ht="14" thickBot="1">
      <c r="A30" s="7">
        <v>26</v>
      </c>
      <c r="B30" s="7">
        <v>7.5119999999999996</v>
      </c>
      <c r="D30" s="7">
        <v>0.28599999999999998</v>
      </c>
    </row>
    <row r="31" spans="1:4" ht="14" thickBot="1">
      <c r="A31" s="7">
        <v>27</v>
      </c>
      <c r="B31" s="7">
        <v>7.8120000000000003</v>
      </c>
      <c r="D31" s="7">
        <v>0.3</v>
      </c>
    </row>
    <row r="32" spans="1:4" ht="14" thickBot="1">
      <c r="A32" s="7">
        <v>28</v>
      </c>
      <c r="B32" s="7">
        <v>8.0660000000000007</v>
      </c>
      <c r="D32" s="7">
        <v>0.254</v>
      </c>
    </row>
    <row r="33" spans="1:4" ht="14" thickBot="1">
      <c r="A33" s="7">
        <v>29</v>
      </c>
      <c r="B33" s="7">
        <v>8.4659999999999993</v>
      </c>
      <c r="D33" s="7">
        <v>0.4</v>
      </c>
    </row>
    <row r="34" spans="1:4" ht="14" thickBot="1">
      <c r="A34" s="7">
        <v>30</v>
      </c>
      <c r="B34" s="7">
        <v>8.74</v>
      </c>
      <c r="D34" s="7">
        <v>0.27400000000000002</v>
      </c>
    </row>
    <row r="35" spans="1:4" ht="14" thickBot="1">
      <c r="A35" s="7">
        <v>31</v>
      </c>
      <c r="B35" s="7">
        <v>8.9949999999999992</v>
      </c>
      <c r="D35" s="7">
        <v>0.255</v>
      </c>
    </row>
    <row r="36" spans="1:4" ht="15" thickBot="1">
      <c r="A36" s="8" t="s">
        <v>201</v>
      </c>
      <c r="B36" s="7">
        <v>9.048</v>
      </c>
      <c r="D36" s="7">
        <v>5.2999999999999999E-2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F12-18E8-4323-8D57-CFB4D25FB6B2}">
  <dimension ref="A1:F35"/>
  <sheetViews>
    <sheetView topLeftCell="J1" workbookViewId="0">
      <selection activeCell="A2" sqref="A2"/>
    </sheetView>
  </sheetViews>
  <sheetFormatPr baseColWidth="10" defaultColWidth="8.83203125" defaultRowHeight="13"/>
  <sheetData>
    <row r="1" spans="1:6" ht="57" thickBot="1">
      <c r="A1" s="8" t="s">
        <v>77</v>
      </c>
      <c r="B1" s="8" t="s">
        <v>225</v>
      </c>
      <c r="C1" s="8" t="s">
        <v>226</v>
      </c>
      <c r="D1" s="8"/>
      <c r="E1" s="8"/>
      <c r="F1" s="8"/>
    </row>
    <row r="2" spans="1:6" ht="15" thickBot="1">
      <c r="A2" s="8" t="s">
        <v>45</v>
      </c>
      <c r="B2" s="8">
        <v>0</v>
      </c>
      <c r="C2" s="8"/>
      <c r="D2" s="8"/>
      <c r="E2" s="8"/>
      <c r="F2" s="8"/>
    </row>
    <row r="3" spans="1:6" ht="15" thickBot="1">
      <c r="A3" s="8" t="s">
        <v>107</v>
      </c>
      <c r="B3" s="7">
        <v>1.0269999999999999</v>
      </c>
      <c r="C3" s="7">
        <v>1.0269999999999999</v>
      </c>
      <c r="D3" s="8"/>
      <c r="E3" s="8"/>
      <c r="F3" s="8"/>
    </row>
    <row r="4" spans="1:6" ht="15" thickBot="1">
      <c r="A4" s="7">
        <v>1</v>
      </c>
      <c r="B4" s="7">
        <v>1.155</v>
      </c>
      <c r="C4" s="7">
        <v>0.128</v>
      </c>
      <c r="D4" s="8"/>
      <c r="E4" s="8" t="s">
        <v>73</v>
      </c>
      <c r="F4" s="7">
        <v>0.19593548390000001</v>
      </c>
    </row>
    <row r="5" spans="1:6" ht="15" thickBot="1">
      <c r="A5" s="7">
        <v>2</v>
      </c>
      <c r="B5" s="7">
        <v>1.268</v>
      </c>
      <c r="C5" s="7">
        <v>0.113</v>
      </c>
      <c r="D5" s="8"/>
      <c r="E5" s="8" t="s">
        <v>74</v>
      </c>
      <c r="F5" s="7">
        <v>0.20799999999999999</v>
      </c>
    </row>
    <row r="6" spans="1:6" ht="15" thickBot="1">
      <c r="A6" s="7">
        <v>3</v>
      </c>
      <c r="B6" s="7">
        <v>1.5129999999999999</v>
      </c>
      <c r="C6" s="7">
        <v>0.245</v>
      </c>
      <c r="D6" s="8"/>
      <c r="E6" s="8" t="s">
        <v>227</v>
      </c>
      <c r="F6" s="7">
        <v>0.26500000000000001</v>
      </c>
    </row>
    <row r="7" spans="1:6" ht="15" thickBot="1">
      <c r="A7" s="7">
        <v>4</v>
      </c>
      <c r="B7" s="7">
        <v>1.7490000000000001</v>
      </c>
      <c r="C7" s="7">
        <v>0.23599999999999999</v>
      </c>
      <c r="D7" s="8"/>
      <c r="E7" s="8" t="s">
        <v>228</v>
      </c>
      <c r="F7" s="7">
        <v>8.6999999999999994E-2</v>
      </c>
    </row>
    <row r="8" spans="1:6" ht="29" thickBot="1">
      <c r="A8" s="7">
        <v>5</v>
      </c>
      <c r="B8" s="7">
        <v>2.0139999999999998</v>
      </c>
      <c r="C8" s="7">
        <v>0.26500000000000001</v>
      </c>
      <c r="D8" s="8"/>
      <c r="E8" s="8" t="s">
        <v>229</v>
      </c>
      <c r="F8" s="7">
        <v>0.23699999999999999</v>
      </c>
    </row>
    <row r="9" spans="1:6" ht="29" thickBot="1">
      <c r="A9" s="7">
        <v>6</v>
      </c>
      <c r="B9" s="7">
        <v>2.2309999999999999</v>
      </c>
      <c r="C9" s="7">
        <v>0.217</v>
      </c>
      <c r="D9" s="8"/>
      <c r="E9" s="8" t="s">
        <v>230</v>
      </c>
      <c r="F9" s="7">
        <v>0.17050000000000001</v>
      </c>
    </row>
    <row r="10" spans="1:6" ht="14" thickBot="1">
      <c r="A10" s="7">
        <v>7</v>
      </c>
      <c r="B10" s="7">
        <v>2.4470000000000001</v>
      </c>
      <c r="C10" s="7">
        <v>0.216</v>
      </c>
      <c r="D10" s="8"/>
      <c r="E10" s="8"/>
      <c r="F10" s="8"/>
    </row>
    <row r="11" spans="1:6" ht="14" thickBot="1">
      <c r="A11" s="7">
        <v>8</v>
      </c>
      <c r="B11" s="7">
        <v>2.66</v>
      </c>
      <c r="C11" s="7">
        <v>0.21299999999999999</v>
      </c>
      <c r="D11" s="8"/>
      <c r="E11" s="8"/>
      <c r="F11" s="8"/>
    </row>
    <row r="12" spans="1:6" ht="14" thickBot="1">
      <c r="A12" s="7">
        <v>9</v>
      </c>
      <c r="B12" s="7">
        <v>2.8959999999999999</v>
      </c>
      <c r="C12" s="7">
        <v>0.23599999999999999</v>
      </c>
      <c r="D12" s="8"/>
      <c r="E12" s="8"/>
      <c r="F12" s="8"/>
    </row>
    <row r="13" spans="1:6" ht="14" thickBot="1">
      <c r="A13" s="7">
        <v>10</v>
      </c>
      <c r="B13" s="7">
        <v>3.11</v>
      </c>
      <c r="C13" s="7">
        <v>0.214</v>
      </c>
      <c r="D13" s="8"/>
      <c r="E13" s="8"/>
      <c r="F13" s="8"/>
    </row>
    <row r="14" spans="1:6" ht="57" thickBot="1">
      <c r="A14" s="7">
        <v>11</v>
      </c>
      <c r="B14" s="7">
        <v>3.35</v>
      </c>
      <c r="C14" s="7">
        <v>0.24</v>
      </c>
      <c r="D14" s="8"/>
      <c r="E14" s="8" t="s">
        <v>231</v>
      </c>
      <c r="F14" s="7">
        <v>6.0739999999999998</v>
      </c>
    </row>
    <row r="15" spans="1:6" ht="14" thickBot="1">
      <c r="A15" s="7">
        <v>12</v>
      </c>
      <c r="B15" s="7">
        <v>3.552</v>
      </c>
      <c r="C15" s="7">
        <v>0.20200000000000001</v>
      </c>
      <c r="D15" s="8"/>
      <c r="E15" s="8"/>
      <c r="F15" s="8"/>
    </row>
    <row r="16" spans="1:6" ht="14" thickBot="1">
      <c r="A16" s="7">
        <v>13</v>
      </c>
      <c r="B16" s="7">
        <v>3.7120000000000002</v>
      </c>
      <c r="C16" s="7">
        <v>0.16</v>
      </c>
      <c r="D16" s="8"/>
      <c r="E16" s="8"/>
      <c r="F16" s="8"/>
    </row>
    <row r="17" spans="1:6" ht="14" thickBot="1">
      <c r="A17" s="7">
        <v>14</v>
      </c>
      <c r="B17" s="7">
        <v>3.9470000000000001</v>
      </c>
      <c r="C17" s="7">
        <v>0.23499999999999999</v>
      </c>
      <c r="D17" s="8"/>
      <c r="E17" s="8"/>
      <c r="F17" s="8"/>
    </row>
    <row r="18" spans="1:6" ht="14" thickBot="1">
      <c r="A18" s="7">
        <v>15</v>
      </c>
      <c r="B18" s="7">
        <v>4.1849999999999996</v>
      </c>
      <c r="C18" s="7">
        <v>0.23799999999999999</v>
      </c>
      <c r="D18" s="8"/>
      <c r="E18" s="8"/>
      <c r="F18" s="8"/>
    </row>
    <row r="19" spans="1:6" ht="14" thickBot="1">
      <c r="A19" s="7">
        <v>16</v>
      </c>
      <c r="B19" s="7">
        <v>4.38</v>
      </c>
      <c r="C19" s="7">
        <v>0.19500000000000001</v>
      </c>
      <c r="D19" s="8"/>
      <c r="E19" s="8"/>
      <c r="F19" s="8"/>
    </row>
    <row r="20" spans="1:6" ht="14" thickBot="1">
      <c r="A20" s="7">
        <v>17</v>
      </c>
      <c r="B20" s="7">
        <v>4.5609999999999999</v>
      </c>
      <c r="C20" s="7">
        <v>0.18099999999999999</v>
      </c>
      <c r="D20" s="8"/>
      <c r="E20" s="8"/>
      <c r="F20" s="8"/>
    </row>
    <row r="21" spans="1:6" ht="14" thickBot="1">
      <c r="A21" s="7">
        <v>18</v>
      </c>
      <c r="B21" s="7">
        <v>4.7649999999999997</v>
      </c>
      <c r="C21" s="7">
        <v>0.20399999999999999</v>
      </c>
      <c r="D21" s="8"/>
      <c r="E21" s="8"/>
      <c r="F21" s="8"/>
    </row>
    <row r="22" spans="1:6" ht="14" thickBot="1">
      <c r="A22" s="7">
        <v>19</v>
      </c>
      <c r="B22" s="7">
        <v>5.0179999999999998</v>
      </c>
      <c r="C22" s="7">
        <v>0.253</v>
      </c>
      <c r="D22" s="8"/>
      <c r="E22" s="8"/>
      <c r="F22" s="8"/>
    </row>
    <row r="23" spans="1:6" ht="14" thickBot="1">
      <c r="A23" s="7">
        <v>20</v>
      </c>
      <c r="B23" s="7">
        <v>5.1459999999999999</v>
      </c>
      <c r="C23" s="7">
        <v>0.128</v>
      </c>
      <c r="D23" s="8"/>
      <c r="E23" s="8"/>
      <c r="F23" s="8"/>
    </row>
    <row r="24" spans="1:6" ht="14" thickBot="1">
      <c r="A24" s="7">
        <v>21</v>
      </c>
      <c r="B24" s="7">
        <v>5.3920000000000003</v>
      </c>
      <c r="C24" s="7">
        <v>0.246</v>
      </c>
      <c r="D24" s="8"/>
      <c r="E24" s="8"/>
      <c r="F24" s="8"/>
    </row>
    <row r="25" spans="1:6" ht="14" thickBot="1">
      <c r="A25" s="7">
        <v>22</v>
      </c>
      <c r="B25" s="7">
        <v>5.532</v>
      </c>
      <c r="C25" s="7">
        <v>0.14000000000000001</v>
      </c>
      <c r="D25" s="8"/>
      <c r="E25" s="8"/>
      <c r="F25" s="8"/>
    </row>
    <row r="26" spans="1:6" ht="14" thickBot="1">
      <c r="A26" s="7">
        <v>23</v>
      </c>
      <c r="B26" s="7">
        <v>5.6189999999999998</v>
      </c>
      <c r="C26" s="7">
        <v>8.6999999999999994E-2</v>
      </c>
      <c r="D26" s="8"/>
      <c r="E26" s="8"/>
      <c r="F26" s="8"/>
    </row>
    <row r="27" spans="1:6" ht="14" thickBot="1">
      <c r="A27" s="7">
        <v>24</v>
      </c>
      <c r="B27" s="7">
        <v>5.8650000000000002</v>
      </c>
      <c r="C27" s="7">
        <v>0.246</v>
      </c>
      <c r="D27" s="8"/>
      <c r="E27" s="8"/>
      <c r="F27" s="8"/>
    </row>
    <row r="28" spans="1:6" ht="14" thickBot="1">
      <c r="A28" s="7">
        <v>25</v>
      </c>
      <c r="B28" s="7">
        <v>6.1079999999999997</v>
      </c>
      <c r="C28" s="7">
        <v>0.24299999999999999</v>
      </c>
      <c r="D28" s="8"/>
      <c r="E28" s="8"/>
      <c r="F28" s="8"/>
    </row>
    <row r="29" spans="1:6" ht="14" thickBot="1">
      <c r="A29" s="7">
        <v>26</v>
      </c>
      <c r="B29" s="7">
        <v>6.23</v>
      </c>
      <c r="C29" s="7">
        <v>0.122</v>
      </c>
      <c r="D29" s="8"/>
      <c r="E29" s="8"/>
      <c r="F29" s="8"/>
    </row>
    <row r="30" spans="1:6" ht="14" thickBot="1">
      <c r="A30" s="7">
        <v>27</v>
      </c>
      <c r="B30" s="7">
        <v>6.3630000000000004</v>
      </c>
      <c r="C30" s="7">
        <v>0.13300000000000001</v>
      </c>
      <c r="D30" s="8"/>
      <c r="E30" s="8"/>
      <c r="F30" s="8"/>
    </row>
    <row r="31" spans="1:6" ht="14" thickBot="1">
      <c r="A31" s="7">
        <v>28</v>
      </c>
      <c r="B31" s="7">
        <v>6.5540000000000003</v>
      </c>
      <c r="C31" s="7">
        <v>0.191</v>
      </c>
      <c r="D31" s="8"/>
      <c r="E31" s="8"/>
      <c r="F31" s="8"/>
    </row>
    <row r="32" spans="1:6" ht="14" thickBot="1">
      <c r="A32" s="7">
        <v>29</v>
      </c>
      <c r="B32" s="7">
        <v>6.7469999999999999</v>
      </c>
      <c r="C32" s="7">
        <v>0.193</v>
      </c>
      <c r="D32" s="8"/>
      <c r="E32" s="8"/>
      <c r="F32" s="8"/>
    </row>
    <row r="33" spans="1:6" ht="14" thickBot="1">
      <c r="A33" s="7">
        <v>30</v>
      </c>
      <c r="B33" s="7">
        <v>6.9550000000000001</v>
      </c>
      <c r="C33" s="7">
        <v>0.20799999999999999</v>
      </c>
      <c r="D33" s="8"/>
      <c r="E33" s="8"/>
      <c r="F33" s="8"/>
    </row>
    <row r="34" spans="1:6" ht="14" thickBot="1">
      <c r="A34" s="7">
        <v>31</v>
      </c>
      <c r="B34" s="7">
        <v>7.101</v>
      </c>
      <c r="C34" s="7">
        <v>0.14599999999999999</v>
      </c>
      <c r="D34" s="8"/>
      <c r="E34" s="8"/>
      <c r="F34" s="8"/>
    </row>
    <row r="35" spans="1:6" ht="15" thickBot="1">
      <c r="A35" s="8" t="s">
        <v>201</v>
      </c>
      <c r="B35" s="7">
        <v>8.1259999999999994</v>
      </c>
      <c r="C35" s="7">
        <v>1.0249999999999999</v>
      </c>
      <c r="D35" s="8"/>
      <c r="E35" s="8"/>
      <c r="F35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161F-D49C-4CED-BEBB-FCE7351C8600}">
  <dimension ref="A1:C35"/>
  <sheetViews>
    <sheetView topLeftCell="A31" workbookViewId="0">
      <selection sqref="A1:C1"/>
    </sheetView>
  </sheetViews>
  <sheetFormatPr baseColWidth="10" defaultColWidth="8.83203125" defaultRowHeight="13"/>
  <sheetData>
    <row r="1" spans="1:3" ht="43" thickBot="1">
      <c r="A1" s="8" t="s">
        <v>77</v>
      </c>
      <c r="B1" s="8" t="s">
        <v>42</v>
      </c>
      <c r="C1" s="8" t="s">
        <v>36</v>
      </c>
    </row>
    <row r="2" spans="1:3" ht="15" thickBot="1">
      <c r="A2" s="8" t="s">
        <v>201</v>
      </c>
      <c r="B2" s="8">
        <v>8.7479999999999993</v>
      </c>
      <c r="C2" s="8"/>
    </row>
    <row r="3" spans="1:3" ht="15" thickBot="1">
      <c r="A3" s="8" t="s">
        <v>107</v>
      </c>
      <c r="B3" s="7">
        <v>7.89</v>
      </c>
      <c r="C3" s="8">
        <f>ABS(B3-B2)</f>
        <v>0.85799999999999965</v>
      </c>
    </row>
    <row r="4" spans="1:3" ht="14" thickBot="1">
      <c r="A4" s="7">
        <v>1</v>
      </c>
      <c r="B4" s="7">
        <v>7.65</v>
      </c>
      <c r="C4" s="7">
        <v>0.24</v>
      </c>
    </row>
    <row r="5" spans="1:3" ht="14" thickBot="1">
      <c r="A5" s="7">
        <v>2</v>
      </c>
      <c r="B5" s="7">
        <v>7.431</v>
      </c>
      <c r="C5" s="7">
        <v>0.219</v>
      </c>
    </row>
    <row r="6" spans="1:3" ht="14" thickBot="1">
      <c r="A6" s="7">
        <v>3</v>
      </c>
      <c r="B6" s="7">
        <v>7.1440000000000001</v>
      </c>
      <c r="C6" s="7">
        <v>0.28699999999999998</v>
      </c>
    </row>
    <row r="7" spans="1:3" ht="14" thickBot="1">
      <c r="A7" s="7">
        <v>4</v>
      </c>
      <c r="B7" s="7">
        <v>6.944</v>
      </c>
      <c r="C7" s="7">
        <v>0.2</v>
      </c>
    </row>
    <row r="8" spans="1:3" ht="14" thickBot="1">
      <c r="A8" s="7">
        <v>5</v>
      </c>
      <c r="B8" s="7">
        <v>6.7240000000000002</v>
      </c>
      <c r="C8" s="7">
        <v>0.22</v>
      </c>
    </row>
    <row r="9" spans="1:3" ht="14" thickBot="1">
      <c r="A9" s="7">
        <v>6</v>
      </c>
      <c r="B9" s="7">
        <v>6.5359999999999996</v>
      </c>
      <c r="C9" s="7">
        <v>0.188</v>
      </c>
    </row>
    <row r="10" spans="1:3" ht="14" thickBot="1">
      <c r="A10" s="7">
        <v>7</v>
      </c>
      <c r="B10" s="7">
        <v>6.3659999999999997</v>
      </c>
      <c r="C10" s="7">
        <v>0.17</v>
      </c>
    </row>
    <row r="11" spans="1:3" ht="14" thickBot="1">
      <c r="A11" s="7">
        <v>8</v>
      </c>
      <c r="B11" s="7">
        <v>5.9939999999999998</v>
      </c>
      <c r="C11" s="7">
        <v>0.372</v>
      </c>
    </row>
    <row r="12" spans="1:3" ht="14" thickBot="1">
      <c r="A12" s="7">
        <v>9</v>
      </c>
      <c r="B12" s="7">
        <v>5.7370000000000001</v>
      </c>
      <c r="C12" s="7">
        <v>0.25700000000000001</v>
      </c>
    </row>
    <row r="13" spans="1:3" ht="14" thickBot="1">
      <c r="A13" s="7">
        <v>10</v>
      </c>
      <c r="B13" s="7">
        <v>5.4790000000000001</v>
      </c>
      <c r="C13" s="7">
        <v>0.25800000000000001</v>
      </c>
    </row>
    <row r="14" spans="1:3" ht="14" thickBot="1">
      <c r="A14" s="7">
        <v>11</v>
      </c>
      <c r="B14" s="7">
        <v>5.3630000000000004</v>
      </c>
      <c r="C14" s="7">
        <v>0.11600000000000001</v>
      </c>
    </row>
    <row r="15" spans="1:3" ht="14" thickBot="1">
      <c r="A15" s="7">
        <v>12</v>
      </c>
      <c r="B15" s="7">
        <v>5.0999999999999996</v>
      </c>
      <c r="C15" s="7">
        <v>0.26300000000000001</v>
      </c>
    </row>
    <row r="16" spans="1:3" ht="14" thickBot="1">
      <c r="A16" s="7">
        <v>13</v>
      </c>
      <c r="B16" s="7">
        <v>4.7309999999999999</v>
      </c>
      <c r="C16" s="7">
        <v>0.36899999999999999</v>
      </c>
    </row>
    <row r="17" spans="1:3" ht="14" thickBot="1">
      <c r="A17" s="7">
        <v>14</v>
      </c>
      <c r="B17" s="7">
        <v>4.4580000000000002</v>
      </c>
      <c r="C17" s="7">
        <v>0.27300000000000002</v>
      </c>
    </row>
    <row r="18" spans="1:3" ht="14" thickBot="1">
      <c r="A18" s="7">
        <v>15</v>
      </c>
      <c r="B18" s="7">
        <v>4.181</v>
      </c>
      <c r="C18" s="7">
        <v>0.27700000000000002</v>
      </c>
    </row>
    <row r="19" spans="1:3" ht="14" thickBot="1">
      <c r="A19" s="7">
        <v>16</v>
      </c>
      <c r="B19" s="7">
        <v>3.9</v>
      </c>
      <c r="C19" s="7">
        <v>0.28100000000000003</v>
      </c>
    </row>
    <row r="20" spans="1:3" ht="14" thickBot="1">
      <c r="A20" s="7">
        <v>17</v>
      </c>
      <c r="B20" s="7">
        <v>3.621</v>
      </c>
      <c r="C20" s="7">
        <v>0.27900000000000003</v>
      </c>
    </row>
    <row r="21" spans="1:3" ht="14" thickBot="1">
      <c r="A21" s="7">
        <v>18</v>
      </c>
      <c r="B21" s="7">
        <v>3.3519999999999999</v>
      </c>
      <c r="C21" s="7">
        <v>0.26900000000000002</v>
      </c>
    </row>
    <row r="22" spans="1:3" ht="14" thickBot="1">
      <c r="A22" s="7">
        <v>19</v>
      </c>
      <c r="B22" s="7">
        <v>3.0609999999999999</v>
      </c>
      <c r="C22" s="7">
        <v>0.29099999999999998</v>
      </c>
    </row>
    <row r="23" spans="1:3" ht="14" thickBot="1">
      <c r="A23" s="7">
        <v>20</v>
      </c>
      <c r="B23" s="7">
        <v>2.7370000000000001</v>
      </c>
      <c r="C23" s="7">
        <v>0.32400000000000001</v>
      </c>
    </row>
    <row r="24" spans="1:3" ht="14" thickBot="1">
      <c r="A24" s="7">
        <v>21</v>
      </c>
      <c r="B24" s="7">
        <v>2.4460000000000002</v>
      </c>
      <c r="C24" s="7">
        <v>0.29099999999999998</v>
      </c>
    </row>
    <row r="25" spans="1:3" ht="14" thickBot="1">
      <c r="A25" s="7">
        <v>22</v>
      </c>
      <c r="B25" s="7">
        <v>2.1749999999999998</v>
      </c>
      <c r="C25" s="7">
        <v>0.27100000000000002</v>
      </c>
    </row>
    <row r="26" spans="1:3" ht="14" thickBot="1">
      <c r="A26" s="7">
        <v>23</v>
      </c>
      <c r="B26" s="7">
        <v>1.907</v>
      </c>
      <c r="C26" s="7">
        <v>0.26800000000000002</v>
      </c>
    </row>
    <row r="27" spans="1:3" ht="14" thickBot="1">
      <c r="A27" s="7">
        <v>24</v>
      </c>
      <c r="B27" s="7">
        <v>1.7709999999999999</v>
      </c>
      <c r="C27" s="7">
        <v>0.13600000000000001</v>
      </c>
    </row>
    <row r="28" spans="1:3" ht="14" thickBot="1">
      <c r="A28" s="7">
        <v>25</v>
      </c>
      <c r="B28" s="7">
        <v>1.4670000000000001</v>
      </c>
      <c r="C28" s="7">
        <v>0.30399999999999999</v>
      </c>
    </row>
    <row r="29" spans="1:3" ht="14" thickBot="1">
      <c r="A29" s="7">
        <v>26</v>
      </c>
      <c r="B29" s="7">
        <v>1.208</v>
      </c>
      <c r="C29" s="7">
        <v>0.25900000000000001</v>
      </c>
    </row>
    <row r="30" spans="1:3" ht="14" thickBot="1">
      <c r="A30" s="7">
        <v>27</v>
      </c>
      <c r="B30" s="7">
        <v>1.0640000000000001</v>
      </c>
      <c r="C30" s="7">
        <v>0.14399999999999999</v>
      </c>
    </row>
    <row r="31" spans="1:3" ht="14" thickBot="1">
      <c r="A31" s="7">
        <v>28</v>
      </c>
      <c r="B31" s="7">
        <v>0.80100000000000005</v>
      </c>
      <c r="C31" s="7">
        <v>0.26300000000000001</v>
      </c>
    </row>
    <row r="32" spans="1:3" ht="14" thickBot="1">
      <c r="A32" s="7">
        <v>29</v>
      </c>
      <c r="B32" s="7">
        <v>0.55300000000000005</v>
      </c>
      <c r="C32" s="7">
        <v>0.248</v>
      </c>
    </row>
    <row r="33" spans="1:3" ht="14" thickBot="1">
      <c r="A33" s="7">
        <v>30</v>
      </c>
      <c r="B33" s="7">
        <v>0.35099999999999998</v>
      </c>
      <c r="C33" s="7">
        <v>0.20200000000000001</v>
      </c>
    </row>
    <row r="34" spans="1:3" ht="14" thickBot="1">
      <c r="A34" s="7">
        <v>31</v>
      </c>
      <c r="B34" s="7">
        <v>0.10199999999999999</v>
      </c>
      <c r="C34" s="7">
        <v>0.249</v>
      </c>
    </row>
    <row r="35" spans="1:3" ht="15" thickBot="1">
      <c r="A35" s="8" t="s">
        <v>201</v>
      </c>
      <c r="B35" s="7">
        <v>0</v>
      </c>
      <c r="C35" s="7">
        <v>0.10199999999999999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1D8-8A83-40D8-AA0F-CAB6BB7CD0DB}">
  <dimension ref="A1:D36"/>
  <sheetViews>
    <sheetView topLeftCell="A19" workbookViewId="0">
      <selection activeCell="F12" sqref="F12"/>
    </sheetView>
  </sheetViews>
  <sheetFormatPr baseColWidth="10" defaultColWidth="8.83203125" defaultRowHeight="13"/>
  <sheetData>
    <row r="1" spans="1:4" ht="43" thickBot="1">
      <c r="A1" s="8" t="s">
        <v>77</v>
      </c>
      <c r="B1" s="20" t="s">
        <v>43</v>
      </c>
      <c r="C1" s="8"/>
      <c r="D1" s="8" t="s">
        <v>42</v>
      </c>
    </row>
    <row r="2" spans="1:4" ht="15" thickBot="1">
      <c r="A2" s="8" t="s">
        <v>45</v>
      </c>
      <c r="B2" s="8"/>
      <c r="C2" s="8"/>
      <c r="D2" s="8"/>
    </row>
    <row r="3" spans="1:4" ht="15" thickBot="1">
      <c r="A3" s="8" t="s">
        <v>46</v>
      </c>
      <c r="B3" s="7">
        <v>5.2999999999999999E-2</v>
      </c>
      <c r="C3" s="8"/>
      <c r="D3" s="7">
        <v>5.2999999999999999E-2</v>
      </c>
    </row>
    <row r="4" spans="1:4" ht="15" thickBot="1">
      <c r="A4" s="8" t="s">
        <v>47</v>
      </c>
      <c r="B4" s="7">
        <v>0.1</v>
      </c>
      <c r="C4" s="8"/>
      <c r="D4" s="7">
        <v>0.153</v>
      </c>
    </row>
    <row r="5" spans="1:4" ht="15" thickBot="1">
      <c r="A5" s="8" t="s">
        <v>48</v>
      </c>
      <c r="B5" s="7">
        <v>0.188</v>
      </c>
      <c r="C5" s="8"/>
      <c r="D5" s="7">
        <v>0.34100000000000003</v>
      </c>
    </row>
    <row r="6" spans="1:4" ht="14" thickBot="1">
      <c r="A6" s="19">
        <v>45659</v>
      </c>
      <c r="B6" s="7">
        <v>0.371</v>
      </c>
      <c r="C6" s="8"/>
      <c r="D6" s="7">
        <v>0.71199999999999997</v>
      </c>
    </row>
    <row r="7" spans="1:4" ht="14" thickBot="1">
      <c r="A7" s="19">
        <v>45691</v>
      </c>
      <c r="B7" s="7">
        <v>0.29699999999999999</v>
      </c>
      <c r="C7" s="8"/>
      <c r="D7" s="7">
        <v>1.0089999999999999</v>
      </c>
    </row>
    <row r="8" spans="1:4" ht="14" thickBot="1">
      <c r="A8" s="19">
        <v>45720</v>
      </c>
      <c r="B8" s="7">
        <v>0.45500000000000002</v>
      </c>
      <c r="C8" s="8"/>
      <c r="D8" s="7">
        <v>1.464</v>
      </c>
    </row>
    <row r="9" spans="1:4" ht="14" thickBot="1">
      <c r="A9" s="19">
        <v>45752</v>
      </c>
      <c r="B9" s="7">
        <v>0.27300000000000002</v>
      </c>
      <c r="C9" s="8"/>
      <c r="D9" s="7">
        <v>1.7370000000000001</v>
      </c>
    </row>
    <row r="10" spans="1:4" ht="14" thickBot="1">
      <c r="A10" s="19">
        <v>45783</v>
      </c>
      <c r="B10" s="7">
        <v>0.215</v>
      </c>
      <c r="C10" s="8"/>
      <c r="D10" s="7">
        <v>1.952</v>
      </c>
    </row>
    <row r="11" spans="1:4" ht="14" thickBot="1">
      <c r="A11" s="19">
        <v>45815</v>
      </c>
      <c r="B11" s="7">
        <v>0.224</v>
      </c>
      <c r="C11" s="8"/>
      <c r="D11" s="7">
        <v>2.1760000000000002</v>
      </c>
    </row>
    <row r="12" spans="1:4" ht="14" thickBot="1">
      <c r="A12" s="19">
        <v>45846</v>
      </c>
      <c r="B12" s="7">
        <v>0.24299999999999999</v>
      </c>
      <c r="C12" s="8"/>
      <c r="D12" s="7">
        <v>2.419</v>
      </c>
    </row>
    <row r="13" spans="1:4" ht="14" thickBot="1">
      <c r="A13" s="19">
        <v>45878</v>
      </c>
      <c r="B13" s="7">
        <v>0.26600000000000001</v>
      </c>
      <c r="C13" s="8"/>
      <c r="D13" s="7">
        <v>2.6850000000000001</v>
      </c>
    </row>
    <row r="14" spans="1:4" ht="14" thickBot="1">
      <c r="A14" s="19">
        <v>45910</v>
      </c>
      <c r="B14" s="7">
        <v>0.312</v>
      </c>
      <c r="C14" s="8"/>
      <c r="D14" s="7">
        <v>2.9969999999999999</v>
      </c>
    </row>
    <row r="15" spans="1:4" ht="14" thickBot="1">
      <c r="A15" s="19">
        <v>45941</v>
      </c>
      <c r="B15" s="7">
        <v>0.33500000000000002</v>
      </c>
      <c r="C15" s="8"/>
      <c r="D15" s="7">
        <v>3.3319999999999999</v>
      </c>
    </row>
    <row r="16" spans="1:4" ht="14" thickBot="1">
      <c r="A16" s="19">
        <v>45973</v>
      </c>
      <c r="B16" s="7">
        <v>0.35399999999999998</v>
      </c>
      <c r="C16" s="8"/>
      <c r="D16" s="7">
        <v>3.6859999999999999</v>
      </c>
    </row>
    <row r="17" spans="1:4" ht="14" thickBot="1">
      <c r="A17" s="19">
        <v>46004</v>
      </c>
      <c r="B17" s="7">
        <v>0.33700000000000002</v>
      </c>
      <c r="C17" s="8"/>
      <c r="D17" s="7">
        <v>4.0229999999999997</v>
      </c>
    </row>
    <row r="18" spans="1:4" ht="15" thickBot="1">
      <c r="A18" s="8" t="s">
        <v>49</v>
      </c>
      <c r="B18" s="7">
        <v>0.20899999999999999</v>
      </c>
      <c r="C18" s="8"/>
      <c r="D18" s="7">
        <v>4.2320000000000002</v>
      </c>
    </row>
    <row r="19" spans="1:4" ht="15" thickBot="1">
      <c r="A19" s="8" t="s">
        <v>50</v>
      </c>
      <c r="B19" s="7">
        <v>0.21099999999999999</v>
      </c>
      <c r="C19" s="8"/>
      <c r="D19" s="7">
        <v>4.4429999999999996</v>
      </c>
    </row>
    <row r="20" spans="1:4" ht="15" thickBot="1">
      <c r="A20" s="8" t="s">
        <v>51</v>
      </c>
      <c r="B20" s="7">
        <v>0.22900000000000001</v>
      </c>
      <c r="C20" s="8"/>
      <c r="D20" s="7">
        <v>4.6719999999999997</v>
      </c>
    </row>
    <row r="21" spans="1:4" ht="15" thickBot="1">
      <c r="A21" s="8" t="s">
        <v>52</v>
      </c>
      <c r="B21" s="7">
        <v>0.23400000000000001</v>
      </c>
      <c r="C21" s="8"/>
      <c r="D21" s="7">
        <v>4.9059999999999997</v>
      </c>
    </row>
    <row r="22" spans="1:4" ht="15" thickBot="1">
      <c r="A22" s="8" t="s">
        <v>53</v>
      </c>
      <c r="B22" s="7">
        <v>0.26300000000000001</v>
      </c>
      <c r="C22" s="8"/>
      <c r="D22" s="7">
        <v>5.1689999999999996</v>
      </c>
    </row>
    <row r="23" spans="1:4" ht="15" thickBot="1">
      <c r="A23" s="8" t="s">
        <v>54</v>
      </c>
      <c r="B23" s="7">
        <v>0.245</v>
      </c>
      <c r="C23" s="8"/>
      <c r="D23" s="7">
        <v>5.4139999999999997</v>
      </c>
    </row>
    <row r="24" spans="1:4" ht="15" thickBot="1">
      <c r="A24" s="8" t="s">
        <v>55</v>
      </c>
      <c r="B24" s="7">
        <v>0.23799999999999999</v>
      </c>
      <c r="C24" s="8"/>
      <c r="D24" s="7">
        <v>5.6520000000000001</v>
      </c>
    </row>
    <row r="25" spans="1:4" ht="15" thickBot="1">
      <c r="A25" s="8" t="s">
        <v>56</v>
      </c>
      <c r="B25" s="7">
        <v>0.27800000000000002</v>
      </c>
      <c r="C25" s="8"/>
      <c r="D25" s="7">
        <v>5.93</v>
      </c>
    </row>
    <row r="26" spans="1:4" ht="15" thickBot="1">
      <c r="A26" s="8" t="s">
        <v>57</v>
      </c>
      <c r="B26" s="7">
        <v>0.26400000000000001</v>
      </c>
      <c r="C26" s="8"/>
      <c r="D26" s="7">
        <v>6.194</v>
      </c>
    </row>
    <row r="27" spans="1:4" ht="15" thickBot="1">
      <c r="A27" s="8" t="s">
        <v>58</v>
      </c>
      <c r="B27" s="7">
        <v>0.33900000000000002</v>
      </c>
      <c r="C27" s="8"/>
      <c r="D27" s="7">
        <v>6.5330000000000004</v>
      </c>
    </row>
    <row r="28" spans="1:4" ht="15" thickBot="1">
      <c r="A28" s="8" t="s">
        <v>59</v>
      </c>
      <c r="B28" s="7">
        <v>0.28999999999999998</v>
      </c>
      <c r="C28" s="8"/>
      <c r="D28" s="7">
        <v>6.8230000000000004</v>
      </c>
    </row>
    <row r="29" spans="1:4" ht="15" thickBot="1">
      <c r="A29" s="8" t="s">
        <v>60</v>
      </c>
      <c r="B29" s="7">
        <v>0.32300000000000001</v>
      </c>
      <c r="C29" s="8"/>
      <c r="D29" s="7">
        <v>7.1459999999999999</v>
      </c>
    </row>
    <row r="30" spans="1:4" ht="15" thickBot="1">
      <c r="A30" s="8" t="s">
        <v>61</v>
      </c>
      <c r="B30" s="7">
        <v>0.28599999999999998</v>
      </c>
      <c r="C30" s="8"/>
      <c r="D30" s="7">
        <v>7.4320000000000004</v>
      </c>
    </row>
    <row r="31" spans="1:4" ht="15" thickBot="1">
      <c r="A31" s="8" t="s">
        <v>62</v>
      </c>
      <c r="B31" s="7">
        <v>0.22</v>
      </c>
      <c r="C31" s="8"/>
      <c r="D31" s="7">
        <v>7.6520000000000001</v>
      </c>
    </row>
    <row r="32" spans="1:4" ht="15" thickBot="1">
      <c r="A32" s="8" t="s">
        <v>63</v>
      </c>
      <c r="B32" s="7">
        <v>0.34200000000000003</v>
      </c>
      <c r="C32" s="8"/>
      <c r="D32" s="7">
        <v>7.9939999999999998</v>
      </c>
    </row>
    <row r="33" spans="1:4" ht="15" thickBot="1">
      <c r="A33" s="8" t="s">
        <v>64</v>
      </c>
      <c r="B33" s="7">
        <v>0.30399999999999999</v>
      </c>
      <c r="C33" s="8"/>
      <c r="D33" s="7">
        <v>8.298</v>
      </c>
    </row>
    <row r="34" spans="1:4" ht="15" thickBot="1">
      <c r="A34" s="8" t="s">
        <v>65</v>
      </c>
      <c r="B34" s="7">
        <v>0.36399999999999999</v>
      </c>
      <c r="C34" s="8"/>
      <c r="D34" s="7">
        <v>8.6620000000000008</v>
      </c>
    </row>
    <row r="35" spans="1:4" ht="15" thickBot="1">
      <c r="A35" s="8" t="s">
        <v>66</v>
      </c>
      <c r="B35" s="7">
        <v>0.20499999999999999</v>
      </c>
      <c r="C35" s="8"/>
      <c r="D35" s="7">
        <v>8.8670000000000009</v>
      </c>
    </row>
    <row r="36" spans="1:4" ht="15" thickBot="1">
      <c r="A36" s="8" t="s">
        <v>67</v>
      </c>
      <c r="B36" s="7">
        <v>9.8000000000000004E-2</v>
      </c>
      <c r="C36" s="8"/>
      <c r="D36" s="7">
        <v>8.9649999999999999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159C-4871-44A7-A3E8-A8F505C65CB0}">
  <dimension ref="A1:D36"/>
  <sheetViews>
    <sheetView workbookViewId="0">
      <selection activeCell="A6" sqref="A6:A17"/>
    </sheetView>
  </sheetViews>
  <sheetFormatPr baseColWidth="10" defaultColWidth="8.83203125" defaultRowHeight="13"/>
  <sheetData>
    <row r="1" spans="1:4" ht="29" thickBot="1">
      <c r="A1" s="8" t="s">
        <v>77</v>
      </c>
      <c r="B1" s="18" t="s">
        <v>233</v>
      </c>
      <c r="C1" s="8"/>
      <c r="D1" s="8" t="s">
        <v>234</v>
      </c>
    </row>
    <row r="2" spans="1:4" ht="15" thickBot="1">
      <c r="A2" s="8" t="s">
        <v>45</v>
      </c>
      <c r="B2" s="8"/>
      <c r="C2" s="8"/>
      <c r="D2" s="8"/>
    </row>
    <row r="3" spans="1:4" ht="15" thickBot="1">
      <c r="A3" s="8" t="s">
        <v>46</v>
      </c>
      <c r="B3" s="7">
        <v>4.9000000000000002E-2</v>
      </c>
      <c r="C3" s="8"/>
      <c r="D3" s="7">
        <v>4.9000000000000002E-2</v>
      </c>
    </row>
    <row r="4" spans="1:4" ht="15" thickBot="1">
      <c r="A4" s="8" t="s">
        <v>47</v>
      </c>
      <c r="B4" s="7">
        <v>0.14499999999999999</v>
      </c>
      <c r="C4" s="8"/>
      <c r="D4" s="7">
        <v>0.19400000000000001</v>
      </c>
    </row>
    <row r="5" spans="1:4" ht="15" thickBot="1">
      <c r="A5" s="8" t="s">
        <v>48</v>
      </c>
      <c r="B5" s="7">
        <v>0.31900000000000001</v>
      </c>
      <c r="C5" s="8"/>
      <c r="D5" s="7">
        <v>0.51300000000000001</v>
      </c>
    </row>
    <row r="6" spans="1:4" ht="15" thickBot="1">
      <c r="A6" s="19" t="s">
        <v>235</v>
      </c>
      <c r="B6" s="7">
        <v>0.375</v>
      </c>
      <c r="C6" s="8"/>
      <c r="D6" s="7">
        <v>0.88800000000000001</v>
      </c>
    </row>
    <row r="7" spans="1:4" ht="15" thickBot="1">
      <c r="A7" s="19" t="s">
        <v>236</v>
      </c>
      <c r="B7" s="7">
        <v>0.23899999999999999</v>
      </c>
      <c r="C7" s="8"/>
      <c r="D7" s="7">
        <v>1.127</v>
      </c>
    </row>
    <row r="8" spans="1:4" ht="15" thickBot="1">
      <c r="A8" s="19" t="s">
        <v>237</v>
      </c>
      <c r="B8" s="7">
        <v>0.32100000000000001</v>
      </c>
      <c r="C8" s="8"/>
      <c r="D8" s="7">
        <v>1.448</v>
      </c>
    </row>
    <row r="9" spans="1:4" ht="15" thickBot="1">
      <c r="A9" s="19" t="s">
        <v>238</v>
      </c>
      <c r="B9" s="7">
        <v>0.27800000000000002</v>
      </c>
      <c r="C9" s="8"/>
      <c r="D9" s="7">
        <v>1.726</v>
      </c>
    </row>
    <row r="10" spans="1:4" ht="15" thickBot="1">
      <c r="A10" s="19" t="s">
        <v>239</v>
      </c>
      <c r="B10" s="7">
        <v>0.17799999999999999</v>
      </c>
      <c r="C10" s="8"/>
      <c r="D10" s="7">
        <v>1.9039999999999999</v>
      </c>
    </row>
    <row r="11" spans="1:4" ht="15" thickBot="1">
      <c r="A11" s="19" t="s">
        <v>240</v>
      </c>
      <c r="B11" s="7">
        <v>0.19500000000000001</v>
      </c>
      <c r="C11" s="8"/>
      <c r="D11" s="7">
        <v>2.0990000000000002</v>
      </c>
    </row>
    <row r="12" spans="1:4" ht="15" thickBot="1">
      <c r="A12" s="19" t="s">
        <v>241</v>
      </c>
      <c r="B12" s="7">
        <v>0.193</v>
      </c>
      <c r="C12" s="8"/>
      <c r="D12" s="7">
        <v>2.2919999999999998</v>
      </c>
    </row>
    <row r="13" spans="1:4" ht="15" thickBot="1">
      <c r="A13" s="19" t="s">
        <v>242</v>
      </c>
      <c r="B13" s="7">
        <v>0.217</v>
      </c>
      <c r="C13" s="8"/>
      <c r="D13" s="7">
        <v>2.5089999999999999</v>
      </c>
    </row>
    <row r="14" spans="1:4" ht="15" thickBot="1">
      <c r="A14" s="19" t="s">
        <v>243</v>
      </c>
      <c r="B14" s="7">
        <v>0.25</v>
      </c>
      <c r="C14" s="8"/>
      <c r="D14" s="7">
        <v>2.7589999999999999</v>
      </c>
    </row>
    <row r="15" spans="1:4" ht="15" thickBot="1">
      <c r="A15" s="19" t="s">
        <v>244</v>
      </c>
      <c r="B15" s="7">
        <v>0.33200000000000002</v>
      </c>
      <c r="C15" s="8"/>
      <c r="D15" s="7">
        <v>3.0910000000000002</v>
      </c>
    </row>
    <row r="16" spans="1:4" ht="15" thickBot="1">
      <c r="A16" s="19" t="s">
        <v>245</v>
      </c>
      <c r="B16" s="7">
        <v>0.32500000000000001</v>
      </c>
      <c r="C16" s="8"/>
      <c r="D16" s="7">
        <v>3.4159999999999999</v>
      </c>
    </row>
    <row r="17" spans="1:4" ht="15" thickBot="1">
      <c r="A17" s="19" t="s">
        <v>246</v>
      </c>
      <c r="B17" s="7">
        <v>0.33400000000000002</v>
      </c>
      <c r="C17" s="8"/>
      <c r="D17" s="7">
        <v>3.75</v>
      </c>
    </row>
    <row r="18" spans="1:4" ht="15" thickBot="1">
      <c r="A18" s="8" t="s">
        <v>49</v>
      </c>
      <c r="B18" s="7">
        <v>0.184</v>
      </c>
      <c r="C18" s="8"/>
      <c r="D18" s="7">
        <v>3.9340000000000002</v>
      </c>
    </row>
    <row r="19" spans="1:4" ht="15" thickBot="1">
      <c r="A19" s="8" t="s">
        <v>50</v>
      </c>
      <c r="B19" s="7">
        <v>0.28100000000000003</v>
      </c>
      <c r="C19" s="8"/>
      <c r="D19" s="7">
        <v>4.2149999999999999</v>
      </c>
    </row>
    <row r="20" spans="1:4" ht="15" thickBot="1">
      <c r="A20" s="8" t="s">
        <v>51</v>
      </c>
      <c r="B20" s="7">
        <v>0.192</v>
      </c>
      <c r="C20" s="8"/>
      <c r="D20" s="7">
        <v>4.407</v>
      </c>
    </row>
    <row r="21" spans="1:4" ht="15" thickBot="1">
      <c r="A21" s="8" t="s">
        <v>52</v>
      </c>
      <c r="B21" s="7">
        <v>0.17599999999999999</v>
      </c>
      <c r="C21" s="8"/>
      <c r="D21" s="7">
        <v>4.5830000000000002</v>
      </c>
    </row>
    <row r="22" spans="1:4" ht="15" thickBot="1">
      <c r="A22" s="8" t="s">
        <v>53</v>
      </c>
      <c r="B22" s="7">
        <v>0.254</v>
      </c>
      <c r="C22" s="8"/>
      <c r="D22" s="7">
        <v>4.8369999999999997</v>
      </c>
    </row>
    <row r="23" spans="1:4" ht="15" thickBot="1">
      <c r="A23" s="8" t="s">
        <v>54</v>
      </c>
      <c r="B23" s="7">
        <v>0.29499999999999998</v>
      </c>
      <c r="C23" s="8"/>
      <c r="D23" s="7">
        <v>5.1319999999999997</v>
      </c>
    </row>
    <row r="24" spans="1:4" ht="15" thickBot="1">
      <c r="A24" s="8" t="s">
        <v>55</v>
      </c>
      <c r="B24" s="7">
        <v>0.26700000000000002</v>
      </c>
      <c r="C24" s="8"/>
      <c r="D24" s="7">
        <v>5.399</v>
      </c>
    </row>
    <row r="25" spans="1:4" ht="15" thickBot="1">
      <c r="A25" s="8" t="s">
        <v>56</v>
      </c>
      <c r="B25" s="7">
        <v>0.251</v>
      </c>
      <c r="C25" s="8"/>
      <c r="D25" s="7">
        <v>5.65</v>
      </c>
    </row>
    <row r="26" spans="1:4" ht="15" thickBot="1">
      <c r="A26" s="8" t="s">
        <v>57</v>
      </c>
      <c r="B26" s="7">
        <v>0.23499999999999999</v>
      </c>
      <c r="C26" s="8"/>
      <c r="D26" s="7">
        <v>5.8849999999999998</v>
      </c>
    </row>
    <row r="27" spans="1:4" ht="15" thickBot="1">
      <c r="A27" s="8" t="s">
        <v>58</v>
      </c>
      <c r="B27" s="7">
        <v>0.26800000000000002</v>
      </c>
      <c r="C27" s="8"/>
      <c r="D27" s="7">
        <v>6.1529999999999996</v>
      </c>
    </row>
    <row r="28" spans="1:4" ht="15" thickBot="1">
      <c r="A28" s="8" t="s">
        <v>59</v>
      </c>
      <c r="B28" s="7">
        <v>0.318</v>
      </c>
      <c r="C28" s="8"/>
      <c r="D28" s="7">
        <v>6.4710000000000001</v>
      </c>
    </row>
    <row r="29" spans="1:4" ht="15" thickBot="1">
      <c r="A29" s="8" t="s">
        <v>60</v>
      </c>
      <c r="B29" s="7">
        <v>0.46700000000000003</v>
      </c>
      <c r="C29" s="8"/>
      <c r="D29" s="7">
        <v>6.9379999999999997</v>
      </c>
    </row>
    <row r="30" spans="1:4" ht="15" thickBot="1">
      <c r="A30" s="8" t="s">
        <v>61</v>
      </c>
      <c r="B30" s="7">
        <v>0.21199999999999999</v>
      </c>
      <c r="C30" s="8"/>
      <c r="D30" s="7">
        <v>7.15</v>
      </c>
    </row>
    <row r="31" spans="1:4" ht="15" thickBot="1">
      <c r="A31" s="8" t="s">
        <v>62</v>
      </c>
      <c r="B31" s="7">
        <v>0.23200000000000001</v>
      </c>
      <c r="C31" s="8"/>
      <c r="D31" s="7">
        <v>7.3819999999999997</v>
      </c>
    </row>
    <row r="32" spans="1:4" ht="15" thickBot="1">
      <c r="A32" s="8" t="s">
        <v>63</v>
      </c>
      <c r="B32" s="7">
        <v>0.34699999999999998</v>
      </c>
      <c r="C32" s="8"/>
      <c r="D32" s="7">
        <v>7.7290000000000001</v>
      </c>
    </row>
    <row r="33" spans="1:4" ht="15" thickBot="1">
      <c r="A33" s="8" t="s">
        <v>64</v>
      </c>
      <c r="B33" s="7">
        <v>0.34899999999999998</v>
      </c>
      <c r="C33" s="8"/>
      <c r="D33" s="7">
        <v>8.0779999999999994</v>
      </c>
    </row>
    <row r="34" spans="1:4" ht="15" thickBot="1">
      <c r="A34" s="8" t="s">
        <v>65</v>
      </c>
      <c r="B34" s="7">
        <v>0.47799999999999998</v>
      </c>
      <c r="C34" s="8"/>
      <c r="D34" s="7">
        <v>8.5559999999999992</v>
      </c>
    </row>
    <row r="35" spans="1:4" ht="15" thickBot="1">
      <c r="A35" s="8" t="s">
        <v>66</v>
      </c>
      <c r="B35" s="7">
        <v>0.318</v>
      </c>
      <c r="C35" s="8"/>
      <c r="D35" s="7">
        <v>8.8740000000000006</v>
      </c>
    </row>
    <row r="36" spans="1:4" ht="15" thickBot="1">
      <c r="A36" s="8" t="s">
        <v>67</v>
      </c>
      <c r="B36" s="7">
        <v>5.0999999999999997E-2</v>
      </c>
      <c r="C36" s="8"/>
      <c r="D36" s="7">
        <v>8.9250000000000007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F3A0-F8CC-4E36-867A-0A40573251BB}">
  <dimension ref="A1:C36"/>
  <sheetViews>
    <sheetView workbookViewId="0">
      <selection sqref="A1:C1"/>
    </sheetView>
  </sheetViews>
  <sheetFormatPr baseColWidth="10" defaultColWidth="8.83203125" defaultRowHeight="13"/>
  <sheetData>
    <row r="1" spans="1:3" ht="43" thickBot="1">
      <c r="A1" s="8" t="s">
        <v>77</v>
      </c>
      <c r="B1" s="8" t="s">
        <v>42</v>
      </c>
      <c r="C1" s="8" t="s">
        <v>36</v>
      </c>
    </row>
    <row r="2" spans="1:3" ht="15" thickBot="1">
      <c r="A2" s="8" t="s">
        <v>45</v>
      </c>
      <c r="B2" s="7">
        <v>0</v>
      </c>
      <c r="C2" s="8"/>
    </row>
    <row r="3" spans="1:3" ht="15" thickBot="1">
      <c r="A3" s="8" t="s">
        <v>106</v>
      </c>
      <c r="B3" s="7">
        <v>3.5999999999999997E-2</v>
      </c>
      <c r="C3" s="7">
        <v>3.5999999999999997E-2</v>
      </c>
    </row>
    <row r="4" spans="1:3" ht="15" thickBot="1">
      <c r="A4" s="8" t="s">
        <v>247</v>
      </c>
      <c r="B4" s="7">
        <v>0.17599999999999999</v>
      </c>
      <c r="C4" s="7">
        <v>0.14000000000000001</v>
      </c>
    </row>
    <row r="5" spans="1:3" ht="14" thickBot="1">
      <c r="A5" s="7">
        <v>1</v>
      </c>
      <c r="B5" s="7">
        <v>0.379</v>
      </c>
      <c r="C5" s="7">
        <v>0.20300000000000001</v>
      </c>
    </row>
    <row r="6" spans="1:3" ht="14" thickBot="1">
      <c r="A6" s="7">
        <v>2</v>
      </c>
      <c r="B6" s="7">
        <v>0.86099999999999999</v>
      </c>
      <c r="C6" s="7">
        <v>0.48199999999999998</v>
      </c>
    </row>
    <row r="7" spans="1:3" ht="14" thickBot="1">
      <c r="A7" s="7">
        <v>3</v>
      </c>
      <c r="B7" s="7">
        <v>1.1120000000000001</v>
      </c>
      <c r="C7" s="7">
        <v>0.251</v>
      </c>
    </row>
    <row r="8" spans="1:3" ht="14" thickBot="1">
      <c r="A8" s="7">
        <v>4</v>
      </c>
      <c r="B8" s="7">
        <v>1.4830000000000001</v>
      </c>
      <c r="C8" s="7">
        <v>0.371</v>
      </c>
    </row>
    <row r="9" spans="1:3" ht="14" thickBot="1">
      <c r="A9" s="7">
        <v>5</v>
      </c>
      <c r="B9" s="7">
        <v>1.8009999999999999</v>
      </c>
      <c r="C9" s="7">
        <v>0.318</v>
      </c>
    </row>
    <row r="10" spans="1:3" ht="14" thickBot="1">
      <c r="A10" s="7">
        <v>6</v>
      </c>
      <c r="B10" s="7">
        <v>1.988</v>
      </c>
      <c r="C10" s="7">
        <v>0.187</v>
      </c>
    </row>
    <row r="11" spans="1:3" ht="14" thickBot="1">
      <c r="A11" s="7">
        <v>7</v>
      </c>
      <c r="B11" s="7">
        <v>2.1709999999999998</v>
      </c>
      <c r="C11" s="7">
        <v>0.183</v>
      </c>
    </row>
    <row r="12" spans="1:3" ht="14" thickBot="1">
      <c r="A12" s="7">
        <v>8</v>
      </c>
      <c r="B12" s="7">
        <v>2.3929999999999998</v>
      </c>
      <c r="C12" s="7">
        <v>0.222</v>
      </c>
    </row>
    <row r="13" spans="1:3" ht="14" thickBot="1">
      <c r="A13" s="7">
        <v>9</v>
      </c>
      <c r="B13" s="7">
        <v>2.5150000000000001</v>
      </c>
      <c r="C13" s="7">
        <v>0.122</v>
      </c>
    </row>
    <row r="14" spans="1:3" ht="14" thickBot="1">
      <c r="A14" s="7">
        <v>10</v>
      </c>
      <c r="B14" s="7">
        <v>2.6819999999999999</v>
      </c>
      <c r="C14" s="7">
        <v>0.16700000000000001</v>
      </c>
    </row>
    <row r="15" spans="1:3" ht="14" thickBot="1">
      <c r="A15" s="7">
        <v>11</v>
      </c>
      <c r="B15" s="7">
        <v>3.0339999999999998</v>
      </c>
      <c r="C15" s="7">
        <v>0.35199999999999998</v>
      </c>
    </row>
    <row r="16" spans="1:3" ht="14" thickBot="1">
      <c r="A16" s="7">
        <v>12</v>
      </c>
      <c r="B16" s="7">
        <v>3.3769999999999998</v>
      </c>
      <c r="C16" s="7">
        <v>0.34300000000000003</v>
      </c>
    </row>
    <row r="17" spans="1:3" ht="14" thickBot="1">
      <c r="A17" s="7">
        <v>13</v>
      </c>
      <c r="B17" s="7">
        <v>3.7330000000000001</v>
      </c>
      <c r="C17" s="7">
        <v>0.35599999999999998</v>
      </c>
    </row>
    <row r="18" spans="1:3" ht="14" thickBot="1">
      <c r="A18" s="7">
        <v>14</v>
      </c>
      <c r="B18" s="7">
        <v>3.9279999999999999</v>
      </c>
      <c r="C18" s="7">
        <v>0.19500000000000001</v>
      </c>
    </row>
    <row r="19" spans="1:3" ht="14" thickBot="1">
      <c r="A19" s="7">
        <v>15</v>
      </c>
      <c r="B19" s="7">
        <v>4.2679999999999998</v>
      </c>
      <c r="C19" s="7">
        <v>0.34</v>
      </c>
    </row>
    <row r="20" spans="1:3" ht="14" thickBot="1">
      <c r="A20" s="7">
        <v>16</v>
      </c>
      <c r="B20" s="7">
        <v>4.484</v>
      </c>
      <c r="C20" s="7">
        <v>0.216</v>
      </c>
    </row>
    <row r="21" spans="1:3" ht="14" thickBot="1">
      <c r="A21" s="7">
        <v>17</v>
      </c>
      <c r="B21" s="7">
        <v>4.6630000000000003</v>
      </c>
      <c r="C21" s="7">
        <v>0.17899999999999999</v>
      </c>
    </row>
    <row r="22" spans="1:3" ht="14" thickBot="1">
      <c r="A22" s="7">
        <v>18</v>
      </c>
      <c r="B22" s="7">
        <v>4.7910000000000004</v>
      </c>
      <c r="C22" s="7">
        <v>0.128</v>
      </c>
    </row>
    <row r="23" spans="1:3" ht="14" thickBot="1">
      <c r="A23" s="7">
        <v>19</v>
      </c>
      <c r="B23" s="7">
        <v>5.1020000000000003</v>
      </c>
      <c r="C23" s="7">
        <v>0.311</v>
      </c>
    </row>
    <row r="24" spans="1:3" ht="14" thickBot="1">
      <c r="A24" s="7">
        <v>20</v>
      </c>
      <c r="B24" s="7">
        <v>5.4340000000000002</v>
      </c>
      <c r="C24" s="7">
        <v>0.33200000000000002</v>
      </c>
    </row>
    <row r="25" spans="1:3" ht="14" thickBot="1">
      <c r="A25" s="7">
        <v>21</v>
      </c>
      <c r="B25" s="7">
        <v>5.7140000000000004</v>
      </c>
      <c r="C25" s="7">
        <v>0.28000000000000003</v>
      </c>
    </row>
    <row r="26" spans="1:3" ht="14" thickBot="1">
      <c r="A26" s="7">
        <v>22</v>
      </c>
      <c r="B26" s="7">
        <v>6.2889999999999997</v>
      </c>
      <c r="C26" s="7">
        <v>0.57499999999999996</v>
      </c>
    </row>
    <row r="27" spans="1:3" ht="14" thickBot="1">
      <c r="A27" s="7">
        <v>23</v>
      </c>
      <c r="B27" s="7">
        <v>6.4930000000000003</v>
      </c>
      <c r="C27" s="7">
        <v>0.20399999999999999</v>
      </c>
    </row>
    <row r="28" spans="1:3" ht="14" thickBot="1">
      <c r="A28" s="7">
        <v>24</v>
      </c>
      <c r="B28" s="7">
        <v>6.883</v>
      </c>
      <c r="C28" s="7">
        <v>0.39</v>
      </c>
    </row>
    <row r="29" spans="1:3" ht="14" thickBot="1">
      <c r="A29" s="7">
        <v>25</v>
      </c>
      <c r="B29" s="7">
        <v>7.2</v>
      </c>
      <c r="C29" s="7">
        <v>0.317</v>
      </c>
    </row>
    <row r="30" spans="1:3" ht="14" thickBot="1">
      <c r="A30" s="7">
        <v>26</v>
      </c>
      <c r="B30" s="7">
        <v>7.423</v>
      </c>
      <c r="C30" s="7">
        <v>0.223</v>
      </c>
    </row>
    <row r="31" spans="1:3" ht="14" thickBot="1">
      <c r="A31" s="7">
        <v>27</v>
      </c>
      <c r="B31" s="7">
        <v>7.71</v>
      </c>
      <c r="C31" s="7">
        <v>0.28699999999999998</v>
      </c>
    </row>
    <row r="32" spans="1:3" ht="14" thickBot="1">
      <c r="A32" s="7">
        <v>28</v>
      </c>
      <c r="B32" s="7">
        <v>8.0120000000000005</v>
      </c>
      <c r="C32" s="7">
        <v>0.30199999999999999</v>
      </c>
    </row>
    <row r="33" spans="1:3" ht="14" thickBot="1">
      <c r="A33" s="7">
        <v>29</v>
      </c>
      <c r="B33" s="7">
        <v>8.2929999999999993</v>
      </c>
      <c r="C33" s="7">
        <v>0.28100000000000003</v>
      </c>
    </row>
    <row r="34" spans="1:3" ht="14" thickBot="1">
      <c r="A34" s="7">
        <v>30</v>
      </c>
      <c r="B34" s="7">
        <v>8.3740000000000006</v>
      </c>
      <c r="C34" s="7">
        <v>8.1000000000000003E-2</v>
      </c>
    </row>
    <row r="35" spans="1:3" ht="14" thickBot="1">
      <c r="A35" s="7">
        <v>31</v>
      </c>
      <c r="B35" s="7">
        <v>8.5790000000000006</v>
      </c>
      <c r="C35" s="7">
        <v>0.20499999999999999</v>
      </c>
    </row>
    <row r="36" spans="1:3" ht="15" thickBot="1">
      <c r="A36" s="8" t="s">
        <v>201</v>
      </c>
      <c r="B36" s="7">
        <v>8.6560000000000006</v>
      </c>
      <c r="C36" s="7">
        <v>7.6999999999999999E-2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52F8-4662-4FE6-956A-FAED5CDAFA89}">
  <dimension ref="A1:G36"/>
  <sheetViews>
    <sheetView workbookViewId="0">
      <selection activeCell="D12" sqref="D12"/>
    </sheetView>
  </sheetViews>
  <sheetFormatPr baseColWidth="10" defaultColWidth="8.83203125" defaultRowHeight="13"/>
  <sheetData>
    <row r="1" spans="1:7" ht="14" thickBot="1">
      <c r="A1" s="9" t="s">
        <v>248</v>
      </c>
      <c r="E1" s="9" t="s">
        <v>249</v>
      </c>
    </row>
    <row r="2" spans="1:7" ht="43" thickBot="1">
      <c r="A2" s="8" t="s">
        <v>77</v>
      </c>
      <c r="B2" s="8" t="s">
        <v>42</v>
      </c>
      <c r="C2" s="8" t="s">
        <v>36</v>
      </c>
      <c r="E2" s="8" t="s">
        <v>77</v>
      </c>
      <c r="F2" s="8" t="s">
        <v>42</v>
      </c>
      <c r="G2" s="8" t="s">
        <v>36</v>
      </c>
    </row>
    <row r="3" spans="1:7" ht="15" thickBot="1">
      <c r="A3" s="8" t="s">
        <v>250</v>
      </c>
      <c r="B3" s="7">
        <v>3.9E-2</v>
      </c>
      <c r="C3" s="8"/>
      <c r="E3" s="8" t="s">
        <v>250</v>
      </c>
      <c r="F3" s="7">
        <v>3.9E-2</v>
      </c>
      <c r="G3" s="8"/>
    </row>
    <row r="4" spans="1:7" ht="15" thickBot="1">
      <c r="A4" s="8" t="s">
        <v>247</v>
      </c>
      <c r="B4" s="7">
        <v>0.161</v>
      </c>
      <c r="C4" s="7">
        <v>0.122</v>
      </c>
      <c r="E4" s="8" t="s">
        <v>247</v>
      </c>
      <c r="F4" s="7">
        <v>0.161</v>
      </c>
      <c r="G4" s="7">
        <v>0.122</v>
      </c>
    </row>
    <row r="5" spans="1:7" ht="14" thickBot="1">
      <c r="A5" s="7">
        <v>1</v>
      </c>
      <c r="B5" s="7">
        <v>0.245</v>
      </c>
      <c r="C5" s="7">
        <v>8.4000000000000005E-2</v>
      </c>
      <c r="E5" s="7">
        <v>1</v>
      </c>
      <c r="F5" s="7">
        <v>0.245</v>
      </c>
      <c r="G5" s="7">
        <v>8.4000000000000005E-2</v>
      </c>
    </row>
    <row r="6" spans="1:7" ht="14" thickBot="1">
      <c r="A6" s="7">
        <v>2</v>
      </c>
      <c r="B6" s="7">
        <v>0.45800000000000002</v>
      </c>
      <c r="C6" s="7">
        <v>0.21299999999999999</v>
      </c>
      <c r="E6" s="7">
        <v>2</v>
      </c>
      <c r="F6" s="7">
        <v>0.45800000000000002</v>
      </c>
      <c r="G6" s="7">
        <v>0.21299999999999999</v>
      </c>
    </row>
    <row r="7" spans="1:7" ht="14" thickBot="1">
      <c r="A7" s="7">
        <v>3</v>
      </c>
      <c r="B7" s="7">
        <v>0.65900000000000003</v>
      </c>
      <c r="C7" s="7">
        <v>0.20100000000000001</v>
      </c>
      <c r="E7" s="7">
        <v>3</v>
      </c>
      <c r="F7" s="7">
        <v>0.65900000000000003</v>
      </c>
      <c r="G7" s="7">
        <v>0.20100000000000001</v>
      </c>
    </row>
    <row r="8" spans="1:7" ht="14" thickBot="1">
      <c r="A8" s="7">
        <v>4</v>
      </c>
      <c r="B8" s="7">
        <v>0.84299999999999997</v>
      </c>
      <c r="C8" s="7">
        <v>0.184</v>
      </c>
      <c r="E8" s="7">
        <v>4</v>
      </c>
      <c r="F8" s="7">
        <v>0.84299999999999997</v>
      </c>
      <c r="G8" s="7">
        <v>0.184</v>
      </c>
    </row>
    <row r="9" spans="1:7" ht="14" thickBot="1">
      <c r="A9" s="7">
        <v>5</v>
      </c>
      <c r="B9" s="7">
        <v>1.034</v>
      </c>
      <c r="C9" s="7">
        <v>0.191</v>
      </c>
      <c r="E9" s="7">
        <v>5</v>
      </c>
      <c r="F9" s="7">
        <v>1.034</v>
      </c>
      <c r="G9" s="7">
        <v>0.191</v>
      </c>
    </row>
    <row r="10" spans="1:7" ht="14" thickBot="1">
      <c r="A10" s="7">
        <v>6</v>
      </c>
      <c r="B10" s="7">
        <v>1.325</v>
      </c>
      <c r="C10" s="7">
        <v>0.29099999999999998</v>
      </c>
      <c r="E10" s="7">
        <v>6</v>
      </c>
      <c r="F10" s="7">
        <v>1.325</v>
      </c>
      <c r="G10" s="7">
        <v>0.29099999999999998</v>
      </c>
    </row>
    <row r="11" spans="1:7" ht="14" thickBot="1">
      <c r="A11" s="7">
        <v>7</v>
      </c>
      <c r="B11" s="7">
        <v>1.6839999999999999</v>
      </c>
      <c r="C11" s="7">
        <v>0.35899999999999999</v>
      </c>
      <c r="E11" s="7">
        <v>7</v>
      </c>
      <c r="F11" s="7">
        <v>1.6839999999999999</v>
      </c>
      <c r="G11" s="7">
        <v>0.35899999999999999</v>
      </c>
    </row>
    <row r="12" spans="1:7" ht="14" thickBot="1">
      <c r="A12" s="7">
        <v>8</v>
      </c>
      <c r="B12" s="7">
        <v>1.8959999999999999</v>
      </c>
      <c r="C12" s="7">
        <v>0.21199999999999999</v>
      </c>
      <c r="E12" s="7">
        <v>8</v>
      </c>
      <c r="F12" s="7">
        <v>1.8959999999999999</v>
      </c>
      <c r="G12" s="7">
        <v>0.21199999999999999</v>
      </c>
    </row>
    <row r="13" spans="1:7" ht="14" thickBot="1">
      <c r="A13" s="7">
        <v>9</v>
      </c>
      <c r="B13" s="7">
        <v>2.004</v>
      </c>
      <c r="C13" s="7">
        <v>0.108</v>
      </c>
      <c r="E13" s="7">
        <v>9</v>
      </c>
      <c r="F13" s="7">
        <v>2.004</v>
      </c>
      <c r="G13" s="7">
        <v>0.108</v>
      </c>
    </row>
    <row r="14" spans="1:7" ht="14" thickBot="1">
      <c r="A14" s="7">
        <v>10</v>
      </c>
      <c r="B14" s="7">
        <v>2.1459999999999999</v>
      </c>
      <c r="C14" s="7">
        <v>0.14199999999999999</v>
      </c>
      <c r="E14" s="7">
        <v>10</v>
      </c>
      <c r="F14" s="7">
        <v>2.1459999999999999</v>
      </c>
      <c r="G14" s="7">
        <v>0.14199999999999999</v>
      </c>
    </row>
    <row r="15" spans="1:7" ht="14" thickBot="1">
      <c r="A15" s="7">
        <v>11</v>
      </c>
      <c r="B15" s="7">
        <v>2.3450000000000002</v>
      </c>
      <c r="C15" s="7">
        <v>0.19900000000000001</v>
      </c>
      <c r="E15" s="7">
        <v>11</v>
      </c>
      <c r="F15" s="7">
        <v>2.3450000000000002</v>
      </c>
      <c r="G15" s="7">
        <v>0.19900000000000001</v>
      </c>
    </row>
    <row r="16" spans="1:7" ht="14" thickBot="1">
      <c r="A16" s="7">
        <v>12</v>
      </c>
      <c r="B16" s="7">
        <v>2.5499999999999998</v>
      </c>
      <c r="C16" s="7">
        <v>0.20499999999999999</v>
      </c>
      <c r="E16" s="7">
        <v>12</v>
      </c>
      <c r="F16" s="7">
        <v>2.5499999999999998</v>
      </c>
      <c r="G16" s="7">
        <v>0.20499999999999999</v>
      </c>
    </row>
    <row r="17" spans="1:7" ht="14" thickBot="1">
      <c r="A17" s="7">
        <v>13</v>
      </c>
      <c r="B17" s="7">
        <v>2.7570000000000001</v>
      </c>
      <c r="C17" s="7">
        <v>0.20699999999999999</v>
      </c>
      <c r="E17" s="7">
        <v>13</v>
      </c>
      <c r="F17" s="7">
        <v>2.7570000000000001</v>
      </c>
      <c r="G17" s="7">
        <v>0.20699999999999999</v>
      </c>
    </row>
    <row r="18" spans="1:7" ht="14" thickBot="1">
      <c r="A18" s="7">
        <v>14</v>
      </c>
      <c r="B18" s="7">
        <v>2.96</v>
      </c>
      <c r="C18" s="7">
        <v>0.20300000000000001</v>
      </c>
      <c r="E18" s="7">
        <v>14</v>
      </c>
      <c r="F18" s="7">
        <v>2.96</v>
      </c>
      <c r="G18" s="7">
        <v>0.20300000000000001</v>
      </c>
    </row>
    <row r="19" spans="1:7" ht="14" thickBot="1">
      <c r="A19" s="7">
        <v>15</v>
      </c>
      <c r="B19" s="7">
        <v>3.1739999999999999</v>
      </c>
      <c r="C19" s="7">
        <v>0.214</v>
      </c>
      <c r="E19" s="7">
        <v>15</v>
      </c>
      <c r="F19" s="7">
        <v>3.1739999999999999</v>
      </c>
      <c r="G19" s="7">
        <v>0.214</v>
      </c>
    </row>
    <row r="20" spans="1:7" ht="14" thickBot="1">
      <c r="A20" s="7">
        <v>16</v>
      </c>
      <c r="B20" s="7">
        <v>3.44</v>
      </c>
      <c r="C20" s="7">
        <v>0.26600000000000001</v>
      </c>
      <c r="E20" s="7">
        <v>16</v>
      </c>
      <c r="F20" s="7">
        <v>3.44</v>
      </c>
      <c r="G20" s="7">
        <v>0.26600000000000001</v>
      </c>
    </row>
    <row r="21" spans="1:7" ht="14" thickBot="1">
      <c r="A21" s="7">
        <v>17</v>
      </c>
      <c r="B21" s="7">
        <v>3.718</v>
      </c>
      <c r="C21" s="7">
        <v>0.27800000000000002</v>
      </c>
      <c r="E21" s="7">
        <v>17</v>
      </c>
      <c r="F21" s="7">
        <v>3.718</v>
      </c>
      <c r="G21" s="7">
        <v>0.27800000000000002</v>
      </c>
    </row>
    <row r="22" spans="1:7" ht="14" thickBot="1">
      <c r="A22" s="7">
        <v>18</v>
      </c>
      <c r="B22" s="7">
        <v>3.8820000000000001</v>
      </c>
      <c r="C22" s="7">
        <v>0.16400000000000001</v>
      </c>
      <c r="E22" s="7">
        <v>18</v>
      </c>
      <c r="F22" s="7">
        <v>3.8820000000000001</v>
      </c>
      <c r="G22" s="7">
        <v>0.16400000000000001</v>
      </c>
    </row>
    <row r="23" spans="1:7" ht="14" thickBot="1">
      <c r="A23" s="7">
        <v>19</v>
      </c>
      <c r="B23" s="7">
        <v>4.085</v>
      </c>
      <c r="C23" s="7">
        <v>0.20300000000000001</v>
      </c>
      <c r="E23" s="7">
        <v>19</v>
      </c>
      <c r="F23" s="7">
        <v>4.085</v>
      </c>
      <c r="G23" s="7">
        <v>0.20300000000000001</v>
      </c>
    </row>
    <row r="24" spans="1:7" ht="14" thickBot="1">
      <c r="A24" s="7">
        <v>20</v>
      </c>
      <c r="B24" s="7">
        <v>4.2590000000000003</v>
      </c>
      <c r="C24" s="7">
        <v>0.17399999999999999</v>
      </c>
      <c r="E24" s="7">
        <v>20</v>
      </c>
      <c r="F24" s="7">
        <v>4.2590000000000003</v>
      </c>
      <c r="G24" s="7">
        <v>0.17399999999999999</v>
      </c>
    </row>
    <row r="25" spans="1:7" ht="14" thickBot="1">
      <c r="A25" s="7">
        <v>21</v>
      </c>
      <c r="B25" s="7">
        <v>4.569</v>
      </c>
      <c r="C25" s="7">
        <v>0.31</v>
      </c>
      <c r="E25" s="7">
        <v>21</v>
      </c>
      <c r="F25" s="7">
        <v>4.569</v>
      </c>
      <c r="G25" s="7">
        <v>0.31</v>
      </c>
    </row>
    <row r="26" spans="1:7" ht="14" thickBot="1">
      <c r="A26" s="7">
        <v>22</v>
      </c>
      <c r="B26" s="7">
        <v>4.8499999999999996</v>
      </c>
      <c r="C26" s="7">
        <v>0.28100000000000003</v>
      </c>
      <c r="E26" s="7">
        <v>22</v>
      </c>
      <c r="F26" s="7">
        <v>4.8499999999999996</v>
      </c>
      <c r="G26" s="7">
        <v>0.28100000000000003</v>
      </c>
    </row>
    <row r="27" spans="1:7" ht="14" thickBot="1">
      <c r="A27" s="7">
        <v>23</v>
      </c>
      <c r="B27" s="7">
        <v>5.0030000000000001</v>
      </c>
      <c r="C27" s="7">
        <v>0.153</v>
      </c>
      <c r="E27" s="7">
        <v>23</v>
      </c>
      <c r="F27" s="7">
        <v>5.0030000000000001</v>
      </c>
      <c r="G27" s="7">
        <v>0.153</v>
      </c>
    </row>
    <row r="28" spans="1:7" ht="14" thickBot="1">
      <c r="A28" s="7">
        <v>24</v>
      </c>
      <c r="B28" s="7">
        <v>5.367</v>
      </c>
      <c r="C28" s="7">
        <v>0.36399999999999999</v>
      </c>
      <c r="E28" s="7">
        <v>24</v>
      </c>
      <c r="F28" s="7">
        <v>5.367</v>
      </c>
      <c r="G28" s="7">
        <v>0.36399999999999999</v>
      </c>
    </row>
    <row r="29" spans="1:7" ht="14" thickBot="1">
      <c r="A29" s="7">
        <v>25</v>
      </c>
      <c r="B29" s="7">
        <v>5.5880000000000001</v>
      </c>
      <c r="C29" s="7">
        <v>0.221</v>
      </c>
      <c r="E29" s="7">
        <v>25</v>
      </c>
      <c r="F29" s="7">
        <v>5.7910000000000004</v>
      </c>
      <c r="G29" s="7">
        <v>0.42399999999999999</v>
      </c>
    </row>
    <row r="30" spans="1:7" ht="14" thickBot="1">
      <c r="A30" s="7">
        <v>26</v>
      </c>
      <c r="B30" s="7">
        <v>5.7850000000000001</v>
      </c>
      <c r="C30" s="7">
        <v>0.19700000000000001</v>
      </c>
      <c r="E30" s="7">
        <v>26</v>
      </c>
      <c r="F30" s="7">
        <v>6.2</v>
      </c>
      <c r="G30" s="7">
        <v>0.40899999999999997</v>
      </c>
    </row>
    <row r="31" spans="1:7" ht="14" thickBot="1">
      <c r="A31" s="7">
        <v>27</v>
      </c>
      <c r="B31" s="7">
        <v>6.38</v>
      </c>
      <c r="C31" s="7">
        <v>0.59499999999999997</v>
      </c>
      <c r="E31" s="7">
        <v>27</v>
      </c>
      <c r="F31" s="7">
        <v>6.6219999999999999</v>
      </c>
      <c r="G31" s="7">
        <v>0.42199999999999999</v>
      </c>
    </row>
    <row r="32" spans="1:7" ht="14" thickBot="1">
      <c r="A32" s="7">
        <v>28</v>
      </c>
      <c r="B32" s="7">
        <v>6.5510000000000002</v>
      </c>
      <c r="C32" s="7">
        <v>0.17100000000000001</v>
      </c>
      <c r="E32" s="7">
        <v>28</v>
      </c>
      <c r="F32" s="7">
        <v>6.8289999999999997</v>
      </c>
      <c r="G32" s="7">
        <v>0.20699999999999999</v>
      </c>
    </row>
    <row r="33" spans="1:7" ht="14" thickBot="1">
      <c r="A33" s="7">
        <v>29</v>
      </c>
      <c r="B33" s="7">
        <v>6.6989999999999998</v>
      </c>
      <c r="C33" s="7">
        <v>0.14799999999999999</v>
      </c>
      <c r="E33" s="7">
        <v>29</v>
      </c>
      <c r="F33" s="7">
        <v>7.0170000000000003</v>
      </c>
      <c r="G33" s="7">
        <v>0.188</v>
      </c>
    </row>
    <row r="34" spans="1:7" ht="14" thickBot="1">
      <c r="A34" s="7">
        <v>30</v>
      </c>
      <c r="B34" s="7">
        <v>7.1109999999999998</v>
      </c>
      <c r="C34" s="7">
        <v>0.41199999999999998</v>
      </c>
      <c r="E34" s="7">
        <v>30</v>
      </c>
      <c r="F34" s="7">
        <v>7.3029999999999999</v>
      </c>
      <c r="G34" s="7">
        <v>0.28599999999999998</v>
      </c>
    </row>
    <row r="35" spans="1:7" ht="14" thickBot="1">
      <c r="A35" s="7">
        <v>31</v>
      </c>
      <c r="B35" s="7">
        <v>7.5389999999999997</v>
      </c>
      <c r="C35" s="7">
        <v>0.42799999999999999</v>
      </c>
      <c r="E35" s="7">
        <v>31</v>
      </c>
      <c r="F35" s="7">
        <v>7.6890000000000001</v>
      </c>
      <c r="G35" s="7">
        <v>0.38600000000000001</v>
      </c>
    </row>
    <row r="36" spans="1:7" ht="15" thickBot="1">
      <c r="A36" s="8" t="s">
        <v>201</v>
      </c>
      <c r="B36" s="7">
        <v>7.8860000000000001</v>
      </c>
      <c r="C36" s="7">
        <v>0.34699999999999998</v>
      </c>
      <c r="E36" s="8" t="s">
        <v>201</v>
      </c>
      <c r="F36" s="7">
        <v>7.8620000000000001</v>
      </c>
      <c r="G36" s="7">
        <v>0.17299999999999999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CB9B-2E06-42AA-92FE-23F241EAFD8B}">
  <dimension ref="A2:C35"/>
  <sheetViews>
    <sheetView workbookViewId="0">
      <selection activeCell="R31" sqref="R31"/>
    </sheetView>
  </sheetViews>
  <sheetFormatPr baseColWidth="10" defaultColWidth="8.83203125" defaultRowHeight="13"/>
  <sheetData>
    <row r="2" spans="1:3" ht="14" thickBot="1">
      <c r="A2" s="9" t="s">
        <v>250</v>
      </c>
      <c r="B2">
        <v>0.20100000000000001</v>
      </c>
      <c r="C2">
        <f>B2-C1</f>
        <v>0.20100000000000001</v>
      </c>
    </row>
    <row r="3" spans="1:3" ht="14" thickBot="1">
      <c r="A3" s="9" t="s">
        <v>251</v>
      </c>
      <c r="B3" s="7">
        <v>0.30599999999999999</v>
      </c>
      <c r="C3">
        <f t="shared" ref="C3:C34" si="0">B3-B2</f>
        <v>0.10499999999999998</v>
      </c>
    </row>
    <row r="4" spans="1:3" ht="15" thickBot="1">
      <c r="A4" s="8" t="s">
        <v>48</v>
      </c>
      <c r="B4" s="7">
        <v>0.46400000000000002</v>
      </c>
      <c r="C4">
        <f t="shared" si="0"/>
        <v>0.15800000000000003</v>
      </c>
    </row>
    <row r="5" spans="1:3" ht="15" thickBot="1">
      <c r="A5" s="7" t="s">
        <v>235</v>
      </c>
      <c r="B5" s="7">
        <v>0.81200000000000006</v>
      </c>
      <c r="C5">
        <f t="shared" si="0"/>
        <v>0.34800000000000003</v>
      </c>
    </row>
    <row r="6" spans="1:3" ht="15" thickBot="1">
      <c r="A6" s="19" t="s">
        <v>236</v>
      </c>
      <c r="B6" s="7">
        <v>1.0509999999999999</v>
      </c>
      <c r="C6">
        <f t="shared" si="0"/>
        <v>0.23899999999999988</v>
      </c>
    </row>
    <row r="7" spans="1:3" ht="15" thickBot="1">
      <c r="A7" s="19" t="s">
        <v>237</v>
      </c>
      <c r="B7" s="7">
        <v>1.44</v>
      </c>
      <c r="C7">
        <f t="shared" si="0"/>
        <v>0.38900000000000001</v>
      </c>
    </row>
    <row r="8" spans="1:3" ht="15" thickBot="1">
      <c r="A8" s="19" t="s">
        <v>238</v>
      </c>
      <c r="B8" s="7">
        <v>1.613</v>
      </c>
      <c r="C8">
        <f t="shared" si="0"/>
        <v>0.17300000000000004</v>
      </c>
    </row>
    <row r="9" spans="1:3" ht="15" thickBot="1">
      <c r="A9" s="19" t="s">
        <v>239</v>
      </c>
      <c r="B9" s="7">
        <v>1.792</v>
      </c>
      <c r="C9">
        <f t="shared" si="0"/>
        <v>0.17900000000000005</v>
      </c>
    </row>
    <row r="10" spans="1:3" ht="15" thickBot="1">
      <c r="A10" s="19" t="s">
        <v>240</v>
      </c>
      <c r="B10" s="7">
        <v>1.968</v>
      </c>
      <c r="C10">
        <f t="shared" si="0"/>
        <v>0.17599999999999993</v>
      </c>
    </row>
    <row r="11" spans="1:3" ht="15" thickBot="1">
      <c r="A11" s="19" t="s">
        <v>241</v>
      </c>
      <c r="B11" s="7">
        <v>2.1869999999999998</v>
      </c>
      <c r="C11">
        <f t="shared" si="0"/>
        <v>0.21899999999999986</v>
      </c>
    </row>
    <row r="12" spans="1:3" ht="15" thickBot="1">
      <c r="A12" s="19" t="s">
        <v>242</v>
      </c>
      <c r="B12" s="7">
        <v>2.3929999999999998</v>
      </c>
      <c r="C12">
        <f t="shared" si="0"/>
        <v>0.20599999999999996</v>
      </c>
    </row>
    <row r="13" spans="1:3" ht="15" thickBot="1">
      <c r="A13" s="19" t="s">
        <v>243</v>
      </c>
      <c r="B13" s="7">
        <v>2.6280000000000001</v>
      </c>
      <c r="C13">
        <f t="shared" si="0"/>
        <v>0.23500000000000032</v>
      </c>
    </row>
    <row r="14" spans="1:3" ht="15" thickBot="1">
      <c r="A14" s="19" t="s">
        <v>244</v>
      </c>
      <c r="B14" s="7">
        <v>2.952</v>
      </c>
      <c r="C14">
        <f t="shared" si="0"/>
        <v>0.32399999999999984</v>
      </c>
    </row>
    <row r="15" spans="1:3" ht="15" thickBot="1">
      <c r="A15" s="19" t="s">
        <v>245</v>
      </c>
      <c r="B15" s="7">
        <v>3.2530000000000001</v>
      </c>
      <c r="C15">
        <f t="shared" si="0"/>
        <v>0.30100000000000016</v>
      </c>
    </row>
    <row r="16" spans="1:3" ht="15" thickBot="1">
      <c r="A16" s="19" t="s">
        <v>246</v>
      </c>
      <c r="B16" s="7">
        <v>3.423</v>
      </c>
      <c r="C16">
        <f t="shared" si="0"/>
        <v>0.16999999999999993</v>
      </c>
    </row>
    <row r="17" spans="1:3" ht="15" thickBot="1">
      <c r="A17" s="8" t="s">
        <v>49</v>
      </c>
      <c r="B17" s="7">
        <v>3.62</v>
      </c>
      <c r="C17">
        <f t="shared" si="0"/>
        <v>0.19700000000000006</v>
      </c>
    </row>
    <row r="18" spans="1:3" ht="15" thickBot="1">
      <c r="A18" s="8" t="s">
        <v>50</v>
      </c>
      <c r="B18" s="7">
        <v>3.96</v>
      </c>
      <c r="C18">
        <f t="shared" si="0"/>
        <v>0.33999999999999986</v>
      </c>
    </row>
    <row r="19" spans="1:3" ht="15" thickBot="1">
      <c r="A19" s="8" t="s">
        <v>51</v>
      </c>
      <c r="B19" s="7">
        <v>4.1849999999999996</v>
      </c>
      <c r="C19">
        <f t="shared" si="0"/>
        <v>0.22499999999999964</v>
      </c>
    </row>
    <row r="20" spans="1:3" ht="15" thickBot="1">
      <c r="A20" s="8" t="s">
        <v>52</v>
      </c>
      <c r="B20" s="7">
        <v>4.3630000000000004</v>
      </c>
      <c r="C20">
        <f t="shared" si="0"/>
        <v>0.17800000000000082</v>
      </c>
    </row>
    <row r="21" spans="1:3" ht="15" thickBot="1">
      <c r="A21" s="8" t="s">
        <v>53</v>
      </c>
      <c r="B21" s="7">
        <v>4.6050000000000004</v>
      </c>
      <c r="C21">
        <f t="shared" si="0"/>
        <v>0.24199999999999999</v>
      </c>
    </row>
    <row r="22" spans="1:3" ht="15" thickBot="1">
      <c r="A22" s="8" t="s">
        <v>54</v>
      </c>
      <c r="B22" s="7">
        <v>4.7750000000000004</v>
      </c>
      <c r="C22">
        <f t="shared" si="0"/>
        <v>0.16999999999999993</v>
      </c>
    </row>
    <row r="23" spans="1:3" ht="15" thickBot="1">
      <c r="A23" s="8" t="s">
        <v>55</v>
      </c>
      <c r="B23" s="7">
        <v>5.0110000000000001</v>
      </c>
      <c r="C23">
        <f t="shared" si="0"/>
        <v>0.23599999999999977</v>
      </c>
    </row>
    <row r="24" spans="1:3" ht="15" thickBot="1">
      <c r="A24" s="21" t="s">
        <v>56</v>
      </c>
      <c r="B24" s="7">
        <v>5.3239999999999998</v>
      </c>
      <c r="C24">
        <f t="shared" si="0"/>
        <v>0.31299999999999972</v>
      </c>
    </row>
    <row r="25" spans="1:3" ht="15" thickBot="1">
      <c r="A25" s="8" t="s">
        <v>57</v>
      </c>
      <c r="B25" s="7">
        <v>5.5910000000000002</v>
      </c>
      <c r="C25">
        <f t="shared" si="0"/>
        <v>0.26700000000000035</v>
      </c>
    </row>
    <row r="26" spans="1:3" ht="15" thickBot="1">
      <c r="A26" s="8" t="s">
        <v>58</v>
      </c>
      <c r="B26" s="7">
        <v>5.8380000000000001</v>
      </c>
      <c r="C26">
        <f t="shared" si="0"/>
        <v>0.24699999999999989</v>
      </c>
    </row>
    <row r="27" spans="1:3" ht="15" thickBot="1">
      <c r="A27" s="8" t="s">
        <v>59</v>
      </c>
      <c r="B27" s="7">
        <v>6.1959999999999997</v>
      </c>
      <c r="C27">
        <f t="shared" si="0"/>
        <v>0.35799999999999965</v>
      </c>
    </row>
    <row r="28" spans="1:3" ht="15" thickBot="1">
      <c r="A28" s="8" t="s">
        <v>60</v>
      </c>
      <c r="B28" s="7">
        <v>6.3550000000000004</v>
      </c>
      <c r="C28">
        <f t="shared" si="0"/>
        <v>0.1590000000000007</v>
      </c>
    </row>
    <row r="29" spans="1:3" ht="15" thickBot="1">
      <c r="A29" s="8" t="s">
        <v>61</v>
      </c>
      <c r="B29" s="7">
        <v>6.508</v>
      </c>
      <c r="C29">
        <f t="shared" si="0"/>
        <v>0.15299999999999958</v>
      </c>
    </row>
    <row r="30" spans="1:3" ht="15" thickBot="1">
      <c r="A30" s="8" t="s">
        <v>62</v>
      </c>
      <c r="B30" s="7">
        <v>6.72</v>
      </c>
      <c r="C30">
        <f t="shared" si="0"/>
        <v>0.21199999999999974</v>
      </c>
    </row>
    <row r="31" spans="1:3" ht="15" thickBot="1">
      <c r="A31" s="8" t="s">
        <v>63</v>
      </c>
      <c r="B31" s="7">
        <v>6.9530000000000003</v>
      </c>
      <c r="C31">
        <f t="shared" si="0"/>
        <v>0.23300000000000054</v>
      </c>
    </row>
    <row r="32" spans="1:3" ht="15" thickBot="1">
      <c r="A32" s="8" t="s">
        <v>252</v>
      </c>
      <c r="B32" s="7">
        <v>7.1669999999999998</v>
      </c>
      <c r="C32">
        <f t="shared" si="0"/>
        <v>0.21399999999999952</v>
      </c>
    </row>
    <row r="33" spans="1:3" ht="15" thickBot="1">
      <c r="A33" s="8" t="s">
        <v>65</v>
      </c>
      <c r="B33" s="7">
        <v>7.4749999999999996</v>
      </c>
      <c r="C33">
        <f t="shared" si="0"/>
        <v>0.30799999999999983</v>
      </c>
    </row>
    <row r="34" spans="1:3" ht="15" thickBot="1">
      <c r="A34" s="8" t="s">
        <v>66</v>
      </c>
      <c r="B34" s="7">
        <v>7.6440000000000001</v>
      </c>
      <c r="C34">
        <f t="shared" si="0"/>
        <v>0.16900000000000048</v>
      </c>
    </row>
    <row r="35" spans="1:3" ht="29" thickBot="1">
      <c r="A35" s="8" t="s">
        <v>253</v>
      </c>
      <c r="B35" s="7">
        <v>7.8550000000000004</v>
      </c>
      <c r="C35">
        <f>B35-B34</f>
        <v>0.2110000000000003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604D-3B67-469F-890D-F65CC72E8C4E}">
  <dimension ref="A1:D34"/>
  <sheetViews>
    <sheetView workbookViewId="0">
      <selection sqref="A1:D34"/>
    </sheetView>
  </sheetViews>
  <sheetFormatPr baseColWidth="10" defaultColWidth="8.83203125" defaultRowHeight="13"/>
  <sheetData>
    <row r="1" spans="1:4" ht="15" thickBot="1">
      <c r="A1" s="8" t="s">
        <v>106</v>
      </c>
      <c r="B1" s="7">
        <v>6.9000000000000006E-2</v>
      </c>
      <c r="C1" s="8"/>
      <c r="D1" s="8"/>
    </row>
    <row r="2" spans="1:4" ht="15" thickBot="1">
      <c r="A2" s="8" t="s">
        <v>247</v>
      </c>
      <c r="B2" s="7">
        <v>0.107</v>
      </c>
      <c r="C2" s="7">
        <v>3.7999999999999999E-2</v>
      </c>
      <c r="D2" s="7">
        <v>1</v>
      </c>
    </row>
    <row r="3" spans="1:4" ht="14" thickBot="1">
      <c r="A3" s="7">
        <v>1</v>
      </c>
      <c r="B3" s="7">
        <v>0.42799999999999999</v>
      </c>
      <c r="C3" s="7">
        <v>0.32100000000000001</v>
      </c>
      <c r="D3" s="7">
        <v>2</v>
      </c>
    </row>
    <row r="4" spans="1:4" ht="14" thickBot="1">
      <c r="A4" s="7">
        <v>2</v>
      </c>
      <c r="B4" s="7">
        <v>0.80600000000000005</v>
      </c>
      <c r="C4" s="7">
        <v>0.378</v>
      </c>
      <c r="D4" s="7">
        <v>3</v>
      </c>
    </row>
    <row r="5" spans="1:4" ht="14" thickBot="1">
      <c r="A5" s="7">
        <v>3</v>
      </c>
      <c r="B5" s="7">
        <v>0.91200000000000003</v>
      </c>
      <c r="C5" s="7">
        <v>0.106</v>
      </c>
      <c r="D5" s="7">
        <v>4</v>
      </c>
    </row>
    <row r="6" spans="1:4" ht="14" thickBot="1">
      <c r="A6" s="7">
        <v>4</v>
      </c>
      <c r="B6" s="7">
        <v>1.234</v>
      </c>
      <c r="C6" s="7">
        <v>0.32200000000000001</v>
      </c>
      <c r="D6" s="7">
        <v>5</v>
      </c>
    </row>
    <row r="7" spans="1:4" ht="14" thickBot="1">
      <c r="A7" s="7">
        <v>5</v>
      </c>
      <c r="B7" s="7">
        <v>1.478</v>
      </c>
      <c r="C7" s="7">
        <v>0.24399999999999999</v>
      </c>
      <c r="D7" s="7">
        <v>6</v>
      </c>
    </row>
    <row r="8" spans="1:4" ht="14" thickBot="1">
      <c r="A8" s="7">
        <v>6</v>
      </c>
      <c r="B8" s="7">
        <v>1.6479999999999999</v>
      </c>
      <c r="C8" s="7">
        <v>0.17</v>
      </c>
      <c r="D8" s="7">
        <v>7</v>
      </c>
    </row>
    <row r="9" spans="1:4" ht="14" thickBot="1">
      <c r="A9" s="7">
        <v>7</v>
      </c>
      <c r="B9" s="7">
        <v>1.825</v>
      </c>
      <c r="C9" s="7">
        <v>0.17699999999999999</v>
      </c>
      <c r="D9" s="7">
        <v>8</v>
      </c>
    </row>
    <row r="10" spans="1:4" ht="14" thickBot="1">
      <c r="A10" s="7">
        <v>8</v>
      </c>
      <c r="B10" s="7">
        <v>2.0169999999999999</v>
      </c>
      <c r="C10" s="7">
        <v>0.192</v>
      </c>
      <c r="D10" s="7">
        <v>9</v>
      </c>
    </row>
    <row r="11" spans="1:4" ht="14" thickBot="1">
      <c r="A11" s="7">
        <v>9</v>
      </c>
      <c r="B11" s="7">
        <v>2.2229999999999999</v>
      </c>
      <c r="C11" s="7">
        <v>0.20599999999999999</v>
      </c>
      <c r="D11" s="7">
        <v>10</v>
      </c>
    </row>
    <row r="12" spans="1:4" ht="14" thickBot="1">
      <c r="A12" s="7">
        <v>10</v>
      </c>
      <c r="B12" s="7">
        <v>2.42</v>
      </c>
      <c r="C12" s="7">
        <v>0.19700000000000001</v>
      </c>
      <c r="D12" s="7">
        <v>11</v>
      </c>
    </row>
    <row r="13" spans="1:4" ht="14" thickBot="1">
      <c r="A13" s="7">
        <v>11</v>
      </c>
      <c r="B13" s="7">
        <v>2.5470000000000002</v>
      </c>
      <c r="C13" s="7">
        <v>0.127</v>
      </c>
      <c r="D13" s="7">
        <v>12</v>
      </c>
    </row>
    <row r="14" spans="1:4" ht="14" thickBot="1">
      <c r="A14" s="7">
        <v>12</v>
      </c>
      <c r="B14" s="7">
        <v>2.84</v>
      </c>
      <c r="C14" s="7">
        <v>0.29299999999999998</v>
      </c>
      <c r="D14" s="7">
        <v>13</v>
      </c>
    </row>
    <row r="15" spans="1:4" ht="14" thickBot="1">
      <c r="A15" s="7">
        <v>13</v>
      </c>
      <c r="B15" s="7">
        <v>3.145</v>
      </c>
      <c r="C15" s="7">
        <v>0.30499999999999999</v>
      </c>
      <c r="D15" s="7">
        <v>14</v>
      </c>
    </row>
    <row r="16" spans="1:4" ht="14" thickBot="1">
      <c r="A16" s="7">
        <v>14</v>
      </c>
      <c r="B16" s="7">
        <v>3.319</v>
      </c>
      <c r="C16" s="7">
        <v>0.17399999999999999</v>
      </c>
      <c r="D16" s="7">
        <v>15</v>
      </c>
    </row>
    <row r="17" spans="1:4" ht="14" thickBot="1">
      <c r="A17" s="7">
        <v>15</v>
      </c>
      <c r="B17" s="7">
        <v>3.6019999999999999</v>
      </c>
      <c r="C17" s="7">
        <v>0.28299999999999997</v>
      </c>
      <c r="D17" s="7">
        <v>16</v>
      </c>
    </row>
    <row r="18" spans="1:4" ht="14" thickBot="1">
      <c r="A18" s="7">
        <v>16</v>
      </c>
      <c r="B18" s="7">
        <v>3.819</v>
      </c>
      <c r="C18" s="7">
        <v>0.217</v>
      </c>
      <c r="D18" s="7">
        <v>17</v>
      </c>
    </row>
    <row r="19" spans="1:4" ht="14" thickBot="1">
      <c r="A19" s="7">
        <v>17</v>
      </c>
      <c r="B19" s="7">
        <v>4.032</v>
      </c>
      <c r="C19" s="7">
        <v>0.21299999999999999</v>
      </c>
      <c r="D19" s="7">
        <v>18</v>
      </c>
    </row>
    <row r="20" spans="1:4" ht="14" thickBot="1">
      <c r="A20" s="7">
        <v>18</v>
      </c>
      <c r="B20" s="7">
        <v>4.2539999999999996</v>
      </c>
      <c r="C20" s="7">
        <v>0.222</v>
      </c>
      <c r="D20" s="7">
        <v>19</v>
      </c>
    </row>
    <row r="21" spans="1:4" ht="14" thickBot="1">
      <c r="A21" s="7">
        <v>19</v>
      </c>
      <c r="B21" s="7">
        <v>4.5579999999999998</v>
      </c>
      <c r="C21" s="7">
        <v>0.30399999999999999</v>
      </c>
      <c r="D21" s="7">
        <v>20</v>
      </c>
    </row>
    <row r="22" spans="1:4" ht="14" thickBot="1">
      <c r="A22" s="7">
        <v>20</v>
      </c>
      <c r="B22" s="7">
        <v>4.7610000000000001</v>
      </c>
      <c r="C22" s="7">
        <v>0.20300000000000001</v>
      </c>
      <c r="D22" s="7">
        <v>21</v>
      </c>
    </row>
    <row r="23" spans="1:4" ht="14" thickBot="1">
      <c r="A23" s="7">
        <v>21</v>
      </c>
      <c r="B23" s="7">
        <v>4.9800000000000004</v>
      </c>
      <c r="C23" s="7">
        <v>0.219</v>
      </c>
      <c r="D23" s="7">
        <v>22</v>
      </c>
    </row>
    <row r="24" spans="1:4" ht="14" thickBot="1">
      <c r="A24" s="7">
        <v>22</v>
      </c>
      <c r="B24" s="7">
        <v>5.2350000000000003</v>
      </c>
      <c r="C24" s="7">
        <v>0.255</v>
      </c>
      <c r="D24" s="7">
        <v>23</v>
      </c>
    </row>
    <row r="25" spans="1:4" ht="14" thickBot="1">
      <c r="A25" s="7">
        <v>23</v>
      </c>
      <c r="B25" s="7">
        <v>5.43</v>
      </c>
      <c r="C25" s="7">
        <v>0.19500000000000001</v>
      </c>
      <c r="D25" s="7">
        <v>24</v>
      </c>
    </row>
    <row r="26" spans="1:4" ht="14" thickBot="1">
      <c r="A26" s="7">
        <v>24</v>
      </c>
      <c r="B26" s="7">
        <v>5.6180000000000003</v>
      </c>
      <c r="C26" s="7">
        <v>0.188</v>
      </c>
      <c r="D26" s="7">
        <v>25</v>
      </c>
    </row>
    <row r="27" spans="1:4" ht="14" thickBot="1">
      <c r="A27" s="7">
        <v>25</v>
      </c>
      <c r="B27" s="7">
        <v>6.0380000000000003</v>
      </c>
      <c r="C27" s="7">
        <v>0.42</v>
      </c>
      <c r="D27" s="7">
        <v>26</v>
      </c>
    </row>
    <row r="28" spans="1:4" ht="14" thickBot="1">
      <c r="A28" s="7">
        <v>26</v>
      </c>
      <c r="B28" s="7">
        <v>6.25</v>
      </c>
      <c r="C28" s="7">
        <v>0.21199999999999999</v>
      </c>
      <c r="D28" s="7">
        <v>27</v>
      </c>
    </row>
    <row r="29" spans="1:4" ht="14" thickBot="1">
      <c r="A29" s="7">
        <v>27</v>
      </c>
      <c r="B29" s="7">
        <v>6.4050000000000002</v>
      </c>
      <c r="C29" s="7">
        <v>0.155</v>
      </c>
      <c r="D29" s="7">
        <v>28</v>
      </c>
    </row>
    <row r="30" spans="1:4" ht="14" thickBot="1">
      <c r="A30" s="7">
        <v>28</v>
      </c>
      <c r="B30" s="7">
        <v>6.6029999999999998</v>
      </c>
      <c r="C30" s="7">
        <v>0.19800000000000001</v>
      </c>
      <c r="D30" s="7">
        <v>29</v>
      </c>
    </row>
    <row r="31" spans="1:4" ht="14" thickBot="1">
      <c r="A31" s="7">
        <v>29</v>
      </c>
      <c r="B31" s="7">
        <v>6.883</v>
      </c>
      <c r="C31" s="7">
        <v>0.28000000000000003</v>
      </c>
      <c r="D31" s="7">
        <v>30</v>
      </c>
    </row>
    <row r="32" spans="1:4" ht="14" thickBot="1">
      <c r="A32" s="7">
        <v>30</v>
      </c>
      <c r="B32" s="7">
        <v>7.024</v>
      </c>
      <c r="C32" s="7">
        <v>0.14099999999999999</v>
      </c>
      <c r="D32" s="7">
        <v>31</v>
      </c>
    </row>
    <row r="33" spans="1:4" ht="14" thickBot="1">
      <c r="A33" s="7">
        <v>31</v>
      </c>
      <c r="B33" s="7">
        <v>7.22</v>
      </c>
      <c r="C33" s="7">
        <v>0.19600000000000001</v>
      </c>
      <c r="D33" s="7">
        <v>32</v>
      </c>
    </row>
    <row r="34" spans="1:4" ht="15" thickBot="1">
      <c r="A34" s="8" t="s">
        <v>201</v>
      </c>
      <c r="B34" s="7">
        <v>7.3730000000000002</v>
      </c>
      <c r="C34" s="7">
        <v>0.153</v>
      </c>
      <c r="D34" s="7">
        <v>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16F4-0E07-4FBA-B906-319CA64132AF}">
  <dimension ref="A1:E37"/>
  <sheetViews>
    <sheetView workbookViewId="0">
      <selection activeCell="G9" sqref="G9"/>
    </sheetView>
  </sheetViews>
  <sheetFormatPr baseColWidth="10" defaultColWidth="8.83203125" defaultRowHeight="13"/>
  <sheetData>
    <row r="1" spans="1:5" ht="29" thickBot="1">
      <c r="A1" s="8" t="s">
        <v>77</v>
      </c>
      <c r="B1" s="8" t="s">
        <v>254</v>
      </c>
      <c r="C1" s="18" t="s">
        <v>226</v>
      </c>
      <c r="D1" s="8"/>
      <c r="E1" s="18" t="s">
        <v>255</v>
      </c>
    </row>
    <row r="2" spans="1:5" ht="15" thickBot="1">
      <c r="A2" s="8" t="s">
        <v>256</v>
      </c>
      <c r="B2" s="7">
        <v>0.246</v>
      </c>
      <c r="C2" s="7">
        <v>2.472361809E-2</v>
      </c>
      <c r="D2" s="8"/>
      <c r="E2" s="8"/>
    </row>
    <row r="3" spans="1:5" ht="15" thickBot="1">
      <c r="A3" s="8" t="s">
        <v>257</v>
      </c>
      <c r="B3" s="7">
        <v>0.30499999999999999</v>
      </c>
      <c r="C3" s="7">
        <v>3.0653266330000001E-2</v>
      </c>
      <c r="D3" s="8"/>
      <c r="E3" s="7">
        <v>5.9296482410000004E-3</v>
      </c>
    </row>
    <row r="4" spans="1:5" ht="15" thickBot="1">
      <c r="A4" s="8" t="s">
        <v>107</v>
      </c>
      <c r="B4" s="7">
        <v>1.869</v>
      </c>
      <c r="C4" s="7">
        <v>0.18783919600000001</v>
      </c>
      <c r="D4" s="8"/>
      <c r="E4" s="7">
        <v>0.1571859296</v>
      </c>
    </row>
    <row r="5" spans="1:5" ht="14" thickBot="1">
      <c r="A5" s="7">
        <v>1</v>
      </c>
      <c r="B5" s="7">
        <v>3.9580000000000002</v>
      </c>
      <c r="C5" s="7">
        <v>0.39778894469999998</v>
      </c>
      <c r="D5" s="8"/>
      <c r="E5" s="7">
        <v>0.20994974869999999</v>
      </c>
    </row>
    <row r="6" spans="1:5" ht="14" thickBot="1">
      <c r="A6" s="7">
        <v>2</v>
      </c>
      <c r="B6" s="7">
        <v>6.69</v>
      </c>
      <c r="C6" s="7">
        <v>0.67236180899999998</v>
      </c>
      <c r="D6" s="8"/>
      <c r="E6" s="7">
        <v>0.2745728643</v>
      </c>
    </row>
    <row r="7" spans="1:5" ht="14" thickBot="1">
      <c r="A7" s="7">
        <v>3</v>
      </c>
      <c r="B7" s="7">
        <v>7.7069999999999999</v>
      </c>
      <c r="C7" s="7">
        <v>0.77457286430000005</v>
      </c>
      <c r="D7" s="8"/>
      <c r="E7" s="7">
        <v>0.10221105530000001</v>
      </c>
    </row>
    <row r="8" spans="1:5" ht="14" thickBot="1">
      <c r="A8" s="7">
        <v>4</v>
      </c>
      <c r="B8" s="7">
        <v>9.6059999999999999</v>
      </c>
      <c r="C8" s="7">
        <v>0.96542713570000005</v>
      </c>
      <c r="D8" s="8"/>
      <c r="E8" s="7">
        <v>0.1908542714</v>
      </c>
    </row>
    <row r="9" spans="1:5" ht="14" thickBot="1">
      <c r="A9" s="7">
        <v>5</v>
      </c>
      <c r="B9" s="7">
        <v>12.061999999999999</v>
      </c>
      <c r="C9" s="7">
        <v>1.2122613069999999</v>
      </c>
      <c r="D9" s="8"/>
      <c r="E9" s="7">
        <v>0.24683417090000001</v>
      </c>
    </row>
    <row r="10" spans="1:5" ht="14" thickBot="1">
      <c r="A10" s="7">
        <v>6</v>
      </c>
      <c r="B10" s="7">
        <v>14.706</v>
      </c>
      <c r="C10" s="7">
        <v>1.47798995</v>
      </c>
      <c r="D10" s="8"/>
      <c r="E10" s="7">
        <v>0.2657286432</v>
      </c>
    </row>
    <row r="11" spans="1:5" ht="14" thickBot="1">
      <c r="A11" s="7">
        <v>7</v>
      </c>
      <c r="B11" s="7">
        <v>17.390999999999998</v>
      </c>
      <c r="C11" s="7">
        <v>1.7478391959999999</v>
      </c>
      <c r="D11" s="8"/>
      <c r="E11" s="7">
        <v>0.2698492462</v>
      </c>
    </row>
    <row r="12" spans="1:5" ht="14" thickBot="1">
      <c r="A12" s="7">
        <v>8</v>
      </c>
      <c r="B12" s="7">
        <v>19.975000000000001</v>
      </c>
      <c r="C12" s="7">
        <v>2.0075376880000002</v>
      </c>
      <c r="D12" s="8"/>
      <c r="E12" s="7">
        <v>0.25969849249999999</v>
      </c>
    </row>
    <row r="13" spans="1:5" ht="14" thickBot="1">
      <c r="A13" s="7">
        <v>9</v>
      </c>
      <c r="B13" s="7">
        <v>22.495000000000001</v>
      </c>
      <c r="C13" s="7">
        <v>2.2608040200000001</v>
      </c>
      <c r="D13" s="8"/>
      <c r="E13" s="7">
        <v>0.25326633170000001</v>
      </c>
    </row>
    <row r="14" spans="1:5" ht="14" thickBot="1">
      <c r="A14" s="7">
        <v>10</v>
      </c>
      <c r="B14" s="7">
        <v>24.698</v>
      </c>
      <c r="C14" s="7">
        <v>2.4822110550000001</v>
      </c>
      <c r="D14" s="8"/>
      <c r="E14" s="7">
        <v>0.22140703519999999</v>
      </c>
    </row>
    <row r="15" spans="1:5" ht="14" thickBot="1">
      <c r="A15" s="7">
        <v>11</v>
      </c>
      <c r="B15" s="7">
        <v>27.055</v>
      </c>
      <c r="C15" s="7">
        <v>2.7190954770000002</v>
      </c>
      <c r="D15" s="8"/>
      <c r="E15" s="7">
        <v>0.23688442209999999</v>
      </c>
    </row>
    <row r="16" spans="1:5" ht="14" thickBot="1">
      <c r="A16" s="7">
        <v>12</v>
      </c>
      <c r="B16" s="7">
        <v>29.413</v>
      </c>
      <c r="C16" s="7">
        <v>2.956080402</v>
      </c>
      <c r="D16" s="8"/>
      <c r="E16" s="7">
        <v>0.23698492460000001</v>
      </c>
    </row>
    <row r="17" spans="1:5" ht="14" thickBot="1">
      <c r="A17" s="7">
        <v>13</v>
      </c>
      <c r="B17" s="7">
        <v>31.699000000000002</v>
      </c>
      <c r="C17" s="7">
        <v>3.1858291460000001</v>
      </c>
      <c r="D17" s="8"/>
      <c r="E17" s="7">
        <v>0.22974874370000001</v>
      </c>
    </row>
    <row r="18" spans="1:5" ht="14" thickBot="1">
      <c r="A18" s="7">
        <v>14</v>
      </c>
      <c r="B18" s="7">
        <v>33.905000000000001</v>
      </c>
      <c r="C18" s="7">
        <v>3.4075376880000001</v>
      </c>
      <c r="D18" s="8"/>
      <c r="E18" s="7">
        <v>0.22170854270000001</v>
      </c>
    </row>
    <row r="19" spans="1:5" ht="14" thickBot="1">
      <c r="A19" s="7">
        <v>15</v>
      </c>
      <c r="B19" s="7">
        <v>36.238999999999997</v>
      </c>
      <c r="C19" s="7">
        <v>3.6421105530000002</v>
      </c>
      <c r="D19" s="8"/>
      <c r="E19" s="7">
        <v>0.23457286429999999</v>
      </c>
    </row>
    <row r="20" spans="1:5" ht="14" thickBot="1">
      <c r="A20" s="7">
        <v>16</v>
      </c>
      <c r="B20" s="7">
        <v>39.375999999999998</v>
      </c>
      <c r="C20" s="7">
        <v>3.9573869350000002</v>
      </c>
      <c r="D20" s="8"/>
      <c r="E20" s="7">
        <v>0.31527638190000001</v>
      </c>
    </row>
    <row r="21" spans="1:5" ht="14" thickBot="1">
      <c r="A21" s="7">
        <v>17</v>
      </c>
      <c r="B21" s="7">
        <v>41.881</v>
      </c>
      <c r="C21" s="7">
        <v>4.2091457290000003</v>
      </c>
      <c r="D21" s="8"/>
      <c r="E21" s="7">
        <v>0.25175879400000001</v>
      </c>
    </row>
    <row r="22" spans="1:5" ht="14" thickBot="1">
      <c r="A22" s="7">
        <v>18</v>
      </c>
      <c r="B22" s="7">
        <v>44.420999999999999</v>
      </c>
      <c r="C22" s="7">
        <v>4.4644221110000002</v>
      </c>
      <c r="D22" s="8"/>
      <c r="E22" s="7">
        <v>0.25527638190000002</v>
      </c>
    </row>
    <row r="23" spans="1:5" ht="14" thickBot="1">
      <c r="A23" s="7">
        <v>19</v>
      </c>
      <c r="B23" s="7">
        <v>46.890999999999998</v>
      </c>
      <c r="C23" s="7">
        <v>4.7126633169999996</v>
      </c>
      <c r="D23" s="8"/>
      <c r="E23" s="7">
        <v>0.24824120599999999</v>
      </c>
    </row>
    <row r="24" spans="1:5" ht="14" thickBot="1">
      <c r="A24" s="7">
        <v>20</v>
      </c>
      <c r="B24" s="7">
        <v>49.402999999999999</v>
      </c>
      <c r="C24" s="7">
        <v>4.965125628</v>
      </c>
      <c r="D24" s="8"/>
      <c r="E24" s="7">
        <v>0.25246231159999999</v>
      </c>
    </row>
    <row r="25" spans="1:5" ht="14" thickBot="1">
      <c r="A25" s="7">
        <v>21</v>
      </c>
      <c r="B25" s="7">
        <v>51.253</v>
      </c>
      <c r="C25" s="7">
        <v>5.1510552760000001</v>
      </c>
      <c r="D25" s="8"/>
      <c r="E25" s="7">
        <v>0.18592964819999999</v>
      </c>
    </row>
    <row r="26" spans="1:5" ht="14" thickBot="1">
      <c r="A26" s="7">
        <v>22</v>
      </c>
      <c r="B26" s="7">
        <v>53.747</v>
      </c>
      <c r="C26" s="7">
        <v>5.4017085429999998</v>
      </c>
      <c r="D26" s="8"/>
      <c r="E26" s="7">
        <v>0.25065326630000001</v>
      </c>
    </row>
    <row r="27" spans="1:5" ht="14" thickBot="1">
      <c r="A27" s="7">
        <v>23</v>
      </c>
      <c r="B27" s="7">
        <v>56.061999999999998</v>
      </c>
      <c r="C27" s="7">
        <v>5.6343718589999998</v>
      </c>
      <c r="D27" s="8"/>
      <c r="E27" s="7">
        <v>0.2326633166</v>
      </c>
    </row>
    <row r="28" spans="1:5" ht="14" thickBot="1">
      <c r="A28" s="7">
        <v>24</v>
      </c>
      <c r="B28" s="7">
        <v>58.997999999999998</v>
      </c>
      <c r="C28" s="7">
        <v>5.9294472359999997</v>
      </c>
      <c r="D28" s="8"/>
      <c r="E28" s="7">
        <v>0.29507537690000002</v>
      </c>
    </row>
    <row r="29" spans="1:5" ht="14" thickBot="1">
      <c r="A29" s="7">
        <v>25</v>
      </c>
      <c r="B29" s="7">
        <v>61.451999999999998</v>
      </c>
      <c r="C29" s="7">
        <v>6.1760804020000002</v>
      </c>
      <c r="D29" s="8"/>
      <c r="E29" s="7">
        <v>0.2466331658</v>
      </c>
    </row>
    <row r="30" spans="1:5" ht="14" thickBot="1">
      <c r="A30" s="7">
        <v>26</v>
      </c>
      <c r="B30" s="7">
        <v>63.84</v>
      </c>
      <c r="C30" s="7">
        <v>6.4160804020000004</v>
      </c>
      <c r="D30" s="8"/>
      <c r="E30" s="7">
        <v>0.24</v>
      </c>
    </row>
    <row r="31" spans="1:5" ht="14" thickBot="1">
      <c r="A31" s="7">
        <v>27</v>
      </c>
      <c r="B31" s="7">
        <v>65.319999999999993</v>
      </c>
      <c r="C31" s="7">
        <v>6.564824121</v>
      </c>
      <c r="D31" s="8"/>
      <c r="E31" s="7">
        <v>0.14874371859999999</v>
      </c>
    </row>
    <row r="32" spans="1:5" ht="14" thickBot="1">
      <c r="A32" s="7">
        <v>28</v>
      </c>
      <c r="B32" s="7">
        <v>68.033000000000001</v>
      </c>
      <c r="C32" s="7">
        <v>6.8374874370000001</v>
      </c>
      <c r="D32" s="8"/>
      <c r="E32" s="7">
        <v>0.27266331659999998</v>
      </c>
    </row>
    <row r="33" spans="1:5" ht="14" thickBot="1">
      <c r="A33" s="7">
        <v>29</v>
      </c>
      <c r="B33" s="7">
        <v>70.347999999999999</v>
      </c>
      <c r="C33" s="7">
        <v>7.0701507540000001</v>
      </c>
      <c r="D33" s="8"/>
      <c r="E33" s="7">
        <v>0.2326633166</v>
      </c>
    </row>
    <row r="34" spans="1:5" ht="14" thickBot="1">
      <c r="A34" s="7">
        <v>30</v>
      </c>
      <c r="B34" s="7">
        <v>73.302999999999997</v>
      </c>
      <c r="C34" s="7">
        <v>7.3671356780000004</v>
      </c>
      <c r="D34" s="8"/>
      <c r="E34" s="7">
        <v>0.29698492459999998</v>
      </c>
    </row>
    <row r="35" spans="1:5" ht="14" thickBot="1">
      <c r="A35" s="7">
        <v>31</v>
      </c>
      <c r="B35" s="7">
        <v>75.861000000000004</v>
      </c>
      <c r="C35" s="7">
        <v>7.6242211060000002</v>
      </c>
      <c r="D35" s="8"/>
      <c r="E35" s="7">
        <v>0.25708542709999999</v>
      </c>
    </row>
    <row r="36" spans="1:5" ht="15" thickBot="1">
      <c r="A36" s="8" t="s">
        <v>258</v>
      </c>
      <c r="B36" s="7">
        <v>76.909000000000006</v>
      </c>
      <c r="C36" s="7">
        <v>7.729547739</v>
      </c>
      <c r="D36" s="8"/>
      <c r="E36" s="7">
        <v>0.10532663320000001</v>
      </c>
    </row>
    <row r="37" spans="1:5" ht="15" thickBot="1">
      <c r="A37" s="8" t="s">
        <v>259</v>
      </c>
      <c r="B37" s="7">
        <v>77.075999999999993</v>
      </c>
      <c r="C37" s="7">
        <v>7.7463316579999999</v>
      </c>
      <c r="D37" s="8"/>
      <c r="E37" s="7">
        <v>1.6783919599999999E-2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2503-F203-4103-A554-1045E698968B}">
  <dimension ref="A1:F54"/>
  <sheetViews>
    <sheetView topLeftCell="A7" workbookViewId="0">
      <selection activeCell="A17" sqref="A17:A48"/>
    </sheetView>
  </sheetViews>
  <sheetFormatPr baseColWidth="10" defaultColWidth="8.83203125" defaultRowHeight="13"/>
  <sheetData>
    <row r="1" spans="1:6" ht="29" thickBot="1">
      <c r="A1" s="8" t="s">
        <v>260</v>
      </c>
      <c r="B1" s="8"/>
      <c r="C1" s="8"/>
      <c r="D1" s="8"/>
      <c r="E1" s="8"/>
    </row>
    <row r="2" spans="1:6" ht="29" thickBot="1">
      <c r="A2" s="8"/>
      <c r="B2" s="8"/>
      <c r="C2" s="8"/>
      <c r="D2" s="8" t="s">
        <v>222</v>
      </c>
      <c r="E2" s="8"/>
    </row>
    <row r="3" spans="1:6" ht="29" thickBot="1">
      <c r="A3" s="18" t="s">
        <v>261</v>
      </c>
      <c r="B3" s="8"/>
      <c r="C3" s="8"/>
      <c r="D3" s="8" t="s">
        <v>262</v>
      </c>
      <c r="E3" s="8"/>
    </row>
    <row r="4" spans="1:6" ht="14" thickBot="1">
      <c r="A4" s="8"/>
      <c r="B4" s="8"/>
      <c r="C4" s="8"/>
      <c r="D4" s="8"/>
      <c r="E4" s="8"/>
    </row>
    <row r="5" spans="1:6" ht="29" thickBot="1">
      <c r="A5" s="18" t="s">
        <v>263</v>
      </c>
      <c r="B5" s="8"/>
      <c r="C5" s="8"/>
      <c r="D5" s="8" t="s">
        <v>264</v>
      </c>
      <c r="E5" s="8"/>
    </row>
    <row r="6" spans="1:6" ht="14" thickBot="1">
      <c r="A6" s="8"/>
      <c r="B6" s="8"/>
      <c r="C6" s="8"/>
      <c r="D6" s="8"/>
      <c r="E6" s="8"/>
    </row>
    <row r="7" spans="1:6" ht="29" thickBot="1">
      <c r="A7" s="18" t="s">
        <v>265</v>
      </c>
      <c r="B7" s="8"/>
      <c r="C7" s="8"/>
      <c r="D7" s="8" t="s">
        <v>266</v>
      </c>
      <c r="E7" s="8"/>
    </row>
    <row r="8" spans="1:6" ht="14" thickBot="1">
      <c r="A8" s="8"/>
      <c r="B8" s="8"/>
      <c r="C8" s="8"/>
      <c r="D8" s="8"/>
      <c r="E8" s="8"/>
    </row>
    <row r="9" spans="1:6" ht="29" thickBot="1">
      <c r="A9" s="18" t="s">
        <v>267</v>
      </c>
      <c r="B9" s="8"/>
      <c r="C9" s="8"/>
      <c r="D9" s="8" t="s">
        <v>268</v>
      </c>
      <c r="E9" s="8"/>
    </row>
    <row r="10" spans="1:6" ht="14" thickBot="1">
      <c r="A10" s="8"/>
      <c r="B10" s="8"/>
      <c r="C10" s="8"/>
      <c r="D10" s="8"/>
      <c r="E10" s="8"/>
    </row>
    <row r="11" spans="1:6" ht="29" thickBot="1">
      <c r="A11" s="18" t="s">
        <v>269</v>
      </c>
      <c r="B11" s="8"/>
      <c r="C11" s="8"/>
      <c r="D11" s="8" t="s">
        <v>270</v>
      </c>
      <c r="E11" s="8"/>
    </row>
    <row r="12" spans="1:6" ht="14" thickBot="1">
      <c r="A12" s="8"/>
      <c r="B12" s="8"/>
      <c r="C12" s="8"/>
      <c r="D12" s="8"/>
      <c r="E12" s="8"/>
    </row>
    <row r="13" spans="1:6" ht="29" thickBot="1">
      <c r="A13" s="18" t="s">
        <v>271</v>
      </c>
      <c r="B13" s="8"/>
      <c r="C13" s="8"/>
      <c r="D13" s="8" t="s">
        <v>272</v>
      </c>
      <c r="E13" s="8"/>
    </row>
    <row r="14" spans="1:6" ht="14" thickBot="1">
      <c r="A14" s="8"/>
      <c r="B14" s="8"/>
      <c r="C14" s="8"/>
      <c r="D14" s="8"/>
      <c r="E14" s="8"/>
    </row>
    <row r="15" spans="1:6" ht="57" thickBot="1">
      <c r="A15" s="8" t="s">
        <v>273</v>
      </c>
      <c r="B15" s="8"/>
      <c r="C15" s="8" t="s">
        <v>274</v>
      </c>
      <c r="D15" s="8"/>
      <c r="E15" s="8"/>
      <c r="F15" s="18" t="s">
        <v>275</v>
      </c>
    </row>
    <row r="16" spans="1:6" ht="14" thickBot="1">
      <c r="A16" s="21"/>
      <c r="B16" s="8"/>
      <c r="E16" s="9" t="s">
        <v>276</v>
      </c>
      <c r="F16" s="7">
        <v>0.36633333330000001</v>
      </c>
    </row>
    <row r="17" spans="1:6" ht="43" thickBot="1">
      <c r="A17" s="8" t="s">
        <v>277</v>
      </c>
      <c r="B17" s="7"/>
      <c r="C17" s="7">
        <v>0.222</v>
      </c>
      <c r="F17" s="7">
        <v>0.38600000000000001</v>
      </c>
    </row>
    <row r="18" spans="1:6" ht="15" thickBot="1">
      <c r="A18" s="19" t="s">
        <v>235</v>
      </c>
      <c r="B18" s="7"/>
      <c r="C18" s="7">
        <v>0.22800000000000001</v>
      </c>
      <c r="F18" s="7">
        <v>0.30433333330000001</v>
      </c>
    </row>
    <row r="19" spans="1:6" ht="15" thickBot="1">
      <c r="A19" s="19" t="s">
        <v>236</v>
      </c>
      <c r="B19" s="7"/>
      <c r="C19" s="7">
        <v>0.254</v>
      </c>
      <c r="F19" s="7">
        <v>0.2356666667</v>
      </c>
    </row>
    <row r="20" spans="1:6" ht="15" thickBot="1">
      <c r="A20" s="19" t="s">
        <v>237</v>
      </c>
      <c r="B20" s="7"/>
      <c r="C20" s="7">
        <v>0.24299999999999999</v>
      </c>
      <c r="F20" s="7">
        <v>0.25466666669999999</v>
      </c>
    </row>
    <row r="21" spans="1:6" ht="15" thickBot="1">
      <c r="A21" s="19" t="s">
        <v>238</v>
      </c>
      <c r="B21" s="7"/>
      <c r="C21" s="7">
        <v>0.253</v>
      </c>
      <c r="F21" s="7">
        <v>0.25</v>
      </c>
    </row>
    <row r="22" spans="1:6" ht="15" thickBot="1">
      <c r="A22" s="19" t="s">
        <v>239</v>
      </c>
      <c r="B22" s="7"/>
      <c r="C22" s="7">
        <v>0.24199999999999999</v>
      </c>
      <c r="F22" s="7">
        <v>0.25933333330000002</v>
      </c>
    </row>
    <row r="23" spans="1:6" ht="15" thickBot="1">
      <c r="A23" s="19" t="s">
        <v>240</v>
      </c>
      <c r="B23" s="7"/>
      <c r="C23" s="7">
        <v>0.246</v>
      </c>
      <c r="F23" s="7">
        <v>0.28999999999999998</v>
      </c>
    </row>
    <row r="24" spans="1:6" ht="15" thickBot="1">
      <c r="A24" s="19" t="s">
        <v>241</v>
      </c>
      <c r="B24" s="7"/>
      <c r="C24" s="7">
        <v>0.253</v>
      </c>
      <c r="F24" s="7">
        <v>0.1736666667</v>
      </c>
    </row>
    <row r="25" spans="1:6" ht="15" thickBot="1">
      <c r="A25" s="19" t="s">
        <v>242</v>
      </c>
      <c r="B25" s="7"/>
      <c r="C25" s="7">
        <v>0.23499999999999999</v>
      </c>
      <c r="F25" s="7">
        <v>0.28866666670000002</v>
      </c>
    </row>
    <row r="26" spans="1:6" ht="15" thickBot="1">
      <c r="A26" s="19" t="s">
        <v>243</v>
      </c>
      <c r="B26" s="7"/>
      <c r="C26" s="7">
        <v>0.224</v>
      </c>
      <c r="F26" s="7">
        <v>0.25866666669999999</v>
      </c>
    </row>
    <row r="27" spans="1:6" ht="15" thickBot="1">
      <c r="A27" s="19" t="s">
        <v>244</v>
      </c>
      <c r="B27" s="7"/>
      <c r="C27" s="7">
        <v>0.23899999999999999</v>
      </c>
      <c r="F27" s="7">
        <v>0.24233333330000001</v>
      </c>
    </row>
    <row r="28" spans="1:6" ht="15" thickBot="1">
      <c r="A28" s="19" t="s">
        <v>245</v>
      </c>
      <c r="B28" s="7"/>
      <c r="C28" s="7">
        <v>0.246</v>
      </c>
      <c r="F28" s="7">
        <v>0.27</v>
      </c>
    </row>
    <row r="29" spans="1:6" ht="15" thickBot="1">
      <c r="A29" s="19" t="s">
        <v>246</v>
      </c>
      <c r="B29" s="7"/>
      <c r="C29" s="7">
        <v>0.24399999999999999</v>
      </c>
      <c r="F29" s="7">
        <v>0.24666666670000001</v>
      </c>
    </row>
    <row r="30" spans="1:6" ht="15" thickBot="1">
      <c r="A30" s="8" t="s">
        <v>49</v>
      </c>
      <c r="B30" s="7"/>
      <c r="C30" s="7">
        <v>0.247</v>
      </c>
      <c r="F30" s="7">
        <v>0.2076666667</v>
      </c>
    </row>
    <row r="31" spans="1:6" ht="15" thickBot="1">
      <c r="A31" s="8" t="s">
        <v>50</v>
      </c>
      <c r="B31" s="7"/>
      <c r="C31" s="7">
        <v>0.24299999999999999</v>
      </c>
      <c r="F31" s="7">
        <v>0.2343333333</v>
      </c>
    </row>
    <row r="32" spans="1:6" ht="15" thickBot="1">
      <c r="A32" s="8" t="s">
        <v>51</v>
      </c>
      <c r="B32" s="7"/>
      <c r="C32" s="7">
        <v>0.246</v>
      </c>
      <c r="F32" s="7">
        <v>0.25833333330000002</v>
      </c>
    </row>
    <row r="33" spans="1:6" ht="15" thickBot="1">
      <c r="A33" s="8" t="s">
        <v>52</v>
      </c>
      <c r="B33" s="7"/>
      <c r="C33" s="7">
        <v>0.224</v>
      </c>
      <c r="F33" s="7">
        <v>0.59799999999999998</v>
      </c>
    </row>
    <row r="34" spans="1:6" ht="15" thickBot="1">
      <c r="A34" s="8" t="s">
        <v>53</v>
      </c>
      <c r="B34" s="7"/>
      <c r="C34" s="7">
        <v>0.223</v>
      </c>
      <c r="F34" s="7">
        <v>0.26700000000000002</v>
      </c>
    </row>
    <row r="35" spans="1:6" ht="15" thickBot="1">
      <c r="A35" s="8" t="s">
        <v>54</v>
      </c>
      <c r="B35" s="7"/>
      <c r="C35" s="7">
        <v>0.248</v>
      </c>
      <c r="F35" s="7">
        <v>0.28133333329999999</v>
      </c>
    </row>
    <row r="36" spans="1:6" ht="15" thickBot="1">
      <c r="A36" s="8" t="s">
        <v>55</v>
      </c>
      <c r="B36" s="7"/>
      <c r="C36" s="7">
        <v>0.24199999999999999</v>
      </c>
      <c r="F36" s="7">
        <v>0.20833333330000001</v>
      </c>
    </row>
    <row r="37" spans="1:6" ht="15" thickBot="1">
      <c r="A37" s="8" t="s">
        <v>57</v>
      </c>
      <c r="B37" s="7"/>
      <c r="C37" s="7">
        <v>0.255</v>
      </c>
      <c r="F37" s="7">
        <v>0.24966666670000001</v>
      </c>
    </row>
    <row r="38" spans="1:6" ht="15" thickBot="1">
      <c r="A38" s="8" t="s">
        <v>58</v>
      </c>
      <c r="B38" s="7"/>
      <c r="C38" s="7">
        <v>0.254</v>
      </c>
      <c r="F38" s="7">
        <v>0.28399999999999997</v>
      </c>
    </row>
    <row r="39" spans="1:6" ht="15" thickBot="1">
      <c r="A39" s="8" t="s">
        <v>59</v>
      </c>
      <c r="B39" s="7"/>
      <c r="C39" s="7">
        <v>0.25700000000000001</v>
      </c>
      <c r="F39" s="7">
        <v>0.122</v>
      </c>
    </row>
    <row r="40" spans="1:6" ht="15" thickBot="1">
      <c r="A40" s="8" t="s">
        <v>60</v>
      </c>
      <c r="B40" s="7"/>
      <c r="C40" s="7">
        <v>0.252</v>
      </c>
      <c r="F40" s="7">
        <v>0.34599999999999997</v>
      </c>
    </row>
    <row r="41" spans="1:6" ht="15" thickBot="1">
      <c r="A41" s="8" t="s">
        <v>61</v>
      </c>
      <c r="B41" s="7"/>
      <c r="C41" s="7">
        <v>0.29299999999999998</v>
      </c>
      <c r="F41" s="7">
        <v>0.18333333330000001</v>
      </c>
    </row>
    <row r="42" spans="1:6" ht="15" thickBot="1">
      <c r="A42" s="8" t="s">
        <v>62</v>
      </c>
      <c r="B42" s="7"/>
      <c r="C42" s="7">
        <v>0.30099999999999999</v>
      </c>
      <c r="F42" s="7">
        <v>0.29266666670000002</v>
      </c>
    </row>
    <row r="43" spans="1:6" ht="15" thickBot="1">
      <c r="A43" s="8" t="s">
        <v>63</v>
      </c>
      <c r="B43" s="7"/>
      <c r="C43" s="7">
        <v>0.25800000000000001</v>
      </c>
      <c r="F43" s="7">
        <v>0.2023333333</v>
      </c>
    </row>
    <row r="44" spans="1:6" ht="15" thickBot="1">
      <c r="A44" s="8" t="s">
        <v>252</v>
      </c>
      <c r="B44" s="7"/>
      <c r="C44" s="7">
        <v>0.255</v>
      </c>
      <c r="F44" s="7">
        <v>0.55200000000000005</v>
      </c>
    </row>
    <row r="45" spans="1:6" ht="15" thickBot="1">
      <c r="A45" s="8" t="s">
        <v>65</v>
      </c>
      <c r="B45" s="7"/>
      <c r="C45" s="7">
        <v>0.20699999999999999</v>
      </c>
      <c r="F45" s="7">
        <v>0.38300000000000001</v>
      </c>
    </row>
    <row r="46" spans="1:6" ht="15" thickBot="1">
      <c r="A46" s="8" t="s">
        <v>66</v>
      </c>
      <c r="B46" s="7"/>
      <c r="C46" s="7">
        <v>0.27300000000000002</v>
      </c>
      <c r="F46" s="7">
        <v>0.21666666670000001</v>
      </c>
    </row>
    <row r="47" spans="1:6" ht="29" thickBot="1">
      <c r="A47" s="8" t="s">
        <v>253</v>
      </c>
      <c r="B47" s="7"/>
      <c r="C47" s="7">
        <v>3.5999999999999997E-2</v>
      </c>
      <c r="F47" s="7">
        <v>0.25166666669999999</v>
      </c>
    </row>
    <row r="48" spans="1:6" ht="15" thickBot="1">
      <c r="A48" s="8" t="s">
        <v>278</v>
      </c>
      <c r="B48" s="8"/>
      <c r="C48" s="7">
        <v>7.4429999999999996</v>
      </c>
      <c r="F48">
        <f>SUM(F16:F47)</f>
        <v>8.9646666667000012</v>
      </c>
    </row>
    <row r="49" spans="1:5" ht="14" thickBot="1">
      <c r="A49" s="8"/>
      <c r="B49" s="8"/>
      <c r="C49" s="8"/>
      <c r="D49" s="8"/>
      <c r="E49" s="8"/>
    </row>
    <row r="50" spans="1:5" ht="15" thickBot="1">
      <c r="A50" s="8" t="s">
        <v>279</v>
      </c>
      <c r="B50" s="8"/>
      <c r="C50" s="8"/>
      <c r="D50" s="7">
        <v>0.24775862069999999</v>
      </c>
      <c r="E50" s="8"/>
    </row>
    <row r="51" spans="1:5" ht="15" thickBot="1">
      <c r="A51" s="8" t="s">
        <v>280</v>
      </c>
      <c r="B51" s="8"/>
      <c r="C51" s="8"/>
      <c r="D51" s="7">
        <v>0.246</v>
      </c>
      <c r="E51" s="8"/>
    </row>
    <row r="52" spans="1:5" ht="15" thickBot="1">
      <c r="A52" s="8" t="s">
        <v>281</v>
      </c>
      <c r="B52" s="8"/>
      <c r="C52" s="8"/>
      <c r="D52" s="7">
        <v>0.246</v>
      </c>
      <c r="E52" s="8"/>
    </row>
    <row r="53" spans="1:5" ht="14" thickBot="1">
      <c r="A53" s="18" t="s">
        <v>75</v>
      </c>
      <c r="B53" s="8"/>
      <c r="C53" s="8"/>
      <c r="D53" s="7">
        <v>1.9275408670000001E-2</v>
      </c>
      <c r="E53" s="8"/>
    </row>
    <row r="54" spans="1:5" ht="15" thickBot="1">
      <c r="A54" s="8" t="s">
        <v>282</v>
      </c>
      <c r="B54" s="8"/>
      <c r="C54" s="8"/>
      <c r="D54" s="7">
        <v>3.7154137930000002E-4</v>
      </c>
      <c r="E54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9B33-0929-4643-89F1-06311D8B8A68}">
  <dimension ref="A1:B34"/>
  <sheetViews>
    <sheetView topLeftCell="A25" workbookViewId="0">
      <selection activeCell="D42" sqref="D42"/>
    </sheetView>
  </sheetViews>
  <sheetFormatPr baseColWidth="10" defaultColWidth="8.83203125" defaultRowHeight="13"/>
  <sheetData>
    <row r="1" spans="1:2" ht="14" thickBot="1">
      <c r="B1" s="9" t="s">
        <v>274</v>
      </c>
    </row>
    <row r="2" spans="1:2" ht="14" thickBot="1">
      <c r="A2" s="9" t="s">
        <v>276</v>
      </c>
      <c r="B2" s="7">
        <v>0.36633333330000001</v>
      </c>
    </row>
    <row r="3" spans="1:2" ht="43" thickBot="1">
      <c r="A3" s="8" t="s">
        <v>277</v>
      </c>
      <c r="B3" s="7">
        <v>0.38600000000000001</v>
      </c>
    </row>
    <row r="4" spans="1:2" ht="15" thickBot="1">
      <c r="A4" s="19" t="s">
        <v>235</v>
      </c>
      <c r="B4" s="7">
        <v>0.30433333330000001</v>
      </c>
    </row>
    <row r="5" spans="1:2" ht="15" thickBot="1">
      <c r="A5" s="19" t="s">
        <v>236</v>
      </c>
      <c r="B5" s="7">
        <v>0.2356666667</v>
      </c>
    </row>
    <row r="6" spans="1:2" ht="15" thickBot="1">
      <c r="A6" s="19" t="s">
        <v>237</v>
      </c>
      <c r="B6" s="7">
        <v>0.25466666669999999</v>
      </c>
    </row>
    <row r="7" spans="1:2" ht="15" thickBot="1">
      <c r="A7" s="19" t="s">
        <v>238</v>
      </c>
      <c r="B7" s="7">
        <v>0.25</v>
      </c>
    </row>
    <row r="8" spans="1:2" ht="15" thickBot="1">
      <c r="A8" s="19" t="s">
        <v>239</v>
      </c>
      <c r="B8" s="7">
        <v>0.25933333330000002</v>
      </c>
    </row>
    <row r="9" spans="1:2" ht="15" thickBot="1">
      <c r="A9" s="19" t="s">
        <v>240</v>
      </c>
      <c r="B9" s="7">
        <v>0.28999999999999998</v>
      </c>
    </row>
    <row r="10" spans="1:2" ht="15" thickBot="1">
      <c r="A10" s="19" t="s">
        <v>241</v>
      </c>
      <c r="B10" s="7">
        <v>0.1736666667</v>
      </c>
    </row>
    <row r="11" spans="1:2" ht="15" thickBot="1">
      <c r="A11" s="19" t="s">
        <v>242</v>
      </c>
      <c r="B11" s="7">
        <v>0.28866666670000002</v>
      </c>
    </row>
    <row r="12" spans="1:2" ht="15" thickBot="1">
      <c r="A12" s="19" t="s">
        <v>243</v>
      </c>
      <c r="B12" s="7">
        <v>0.25866666669999999</v>
      </c>
    </row>
    <row r="13" spans="1:2" ht="15" thickBot="1">
      <c r="A13" s="19" t="s">
        <v>244</v>
      </c>
      <c r="B13" s="7">
        <v>0.24233333330000001</v>
      </c>
    </row>
    <row r="14" spans="1:2" ht="15" thickBot="1">
      <c r="A14" s="19" t="s">
        <v>245</v>
      </c>
      <c r="B14" s="7">
        <v>0.27</v>
      </c>
    </row>
    <row r="15" spans="1:2" ht="15" thickBot="1">
      <c r="A15" s="19" t="s">
        <v>246</v>
      </c>
      <c r="B15" s="7">
        <v>0.24666666670000001</v>
      </c>
    </row>
    <row r="16" spans="1:2" ht="15" thickBot="1">
      <c r="A16" s="8" t="s">
        <v>49</v>
      </c>
      <c r="B16" s="7">
        <v>0.2076666667</v>
      </c>
    </row>
    <row r="17" spans="1:2" ht="15" thickBot="1">
      <c r="A17" s="8" t="s">
        <v>50</v>
      </c>
      <c r="B17" s="7">
        <v>0.2343333333</v>
      </c>
    </row>
    <row r="18" spans="1:2" ht="15" thickBot="1">
      <c r="A18" s="8" t="s">
        <v>51</v>
      </c>
      <c r="B18" s="7">
        <v>0.25833333330000002</v>
      </c>
    </row>
    <row r="19" spans="1:2" ht="15" thickBot="1">
      <c r="A19" s="8" t="s">
        <v>52</v>
      </c>
      <c r="B19" s="7">
        <v>0.59799999999999998</v>
      </c>
    </row>
    <row r="20" spans="1:2" ht="15" thickBot="1">
      <c r="A20" s="8" t="s">
        <v>53</v>
      </c>
      <c r="B20" s="7">
        <v>0.26700000000000002</v>
      </c>
    </row>
    <row r="21" spans="1:2" ht="15" thickBot="1">
      <c r="A21" s="8" t="s">
        <v>54</v>
      </c>
      <c r="B21" s="7">
        <v>0.28133333329999999</v>
      </c>
    </row>
    <row r="22" spans="1:2" ht="15" thickBot="1">
      <c r="A22" s="8" t="s">
        <v>55</v>
      </c>
      <c r="B22" s="7">
        <v>0.20833333330000001</v>
      </c>
    </row>
    <row r="23" spans="1:2" ht="15" thickBot="1">
      <c r="A23" s="8" t="s">
        <v>57</v>
      </c>
      <c r="B23" s="7">
        <v>0.24966666670000001</v>
      </c>
    </row>
    <row r="24" spans="1:2" ht="15" thickBot="1">
      <c r="A24" s="8" t="s">
        <v>58</v>
      </c>
      <c r="B24" s="7">
        <v>0.28399999999999997</v>
      </c>
    </row>
    <row r="25" spans="1:2" ht="15" thickBot="1">
      <c r="A25" s="8" t="s">
        <v>59</v>
      </c>
      <c r="B25" s="7">
        <v>0.122</v>
      </c>
    </row>
    <row r="26" spans="1:2" ht="15" thickBot="1">
      <c r="A26" s="8" t="s">
        <v>60</v>
      </c>
      <c r="B26" s="7">
        <v>0.34599999999999997</v>
      </c>
    </row>
    <row r="27" spans="1:2" ht="15" thickBot="1">
      <c r="A27" s="8" t="s">
        <v>61</v>
      </c>
      <c r="B27" s="7">
        <v>0.18333333330000001</v>
      </c>
    </row>
    <row r="28" spans="1:2" ht="15" thickBot="1">
      <c r="A28" s="8" t="s">
        <v>62</v>
      </c>
      <c r="B28" s="7">
        <v>0.29266666670000002</v>
      </c>
    </row>
    <row r="29" spans="1:2" ht="15" thickBot="1">
      <c r="A29" s="8" t="s">
        <v>63</v>
      </c>
      <c r="B29" s="7">
        <v>0.2023333333</v>
      </c>
    </row>
    <row r="30" spans="1:2" ht="15" thickBot="1">
      <c r="A30" s="8" t="s">
        <v>252</v>
      </c>
      <c r="B30" s="7">
        <v>0.55200000000000005</v>
      </c>
    </row>
    <row r="31" spans="1:2" ht="15" thickBot="1">
      <c r="A31" s="8" t="s">
        <v>65</v>
      </c>
      <c r="B31" s="7">
        <v>0.38300000000000001</v>
      </c>
    </row>
    <row r="32" spans="1:2" ht="15" thickBot="1">
      <c r="A32" s="8" t="s">
        <v>66</v>
      </c>
      <c r="B32" s="7">
        <v>0.21666666670000001</v>
      </c>
    </row>
    <row r="33" spans="1:2" ht="29" thickBot="1">
      <c r="A33" s="8" t="s">
        <v>253</v>
      </c>
      <c r="B33" s="7">
        <v>0.25166666669999999</v>
      </c>
    </row>
    <row r="34" spans="1:2" ht="15" thickBot="1">
      <c r="A34" s="8" t="s">
        <v>278</v>
      </c>
      <c r="B34">
        <f>SUM(B2:B33)</f>
        <v>8.9646666667000012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86CC-BE93-4A35-B657-7BD43F38406C}">
  <dimension ref="A1:K40"/>
  <sheetViews>
    <sheetView topLeftCell="A3" workbookViewId="0">
      <selection activeCell="H11" sqref="H11"/>
    </sheetView>
  </sheetViews>
  <sheetFormatPr baseColWidth="10" defaultColWidth="8.83203125" defaultRowHeight="13"/>
  <sheetData>
    <row r="1" spans="1:11" ht="29" thickBot="1">
      <c r="A1" s="8" t="s">
        <v>283</v>
      </c>
      <c r="B1" s="8"/>
      <c r="C1" s="8"/>
      <c r="D1" s="8"/>
      <c r="E1" s="8"/>
      <c r="F1" s="8"/>
      <c r="G1" s="8"/>
      <c r="H1" s="8"/>
    </row>
    <row r="2" spans="1:11" ht="14" thickBot="1">
      <c r="A2" s="8"/>
      <c r="B2" s="8"/>
      <c r="C2" s="8"/>
      <c r="D2" s="8"/>
      <c r="E2" s="8"/>
      <c r="F2" s="8"/>
      <c r="G2" s="8"/>
      <c r="H2" s="8"/>
    </row>
    <row r="3" spans="1:11" ht="71" thickBot="1">
      <c r="A3" s="8" t="s">
        <v>77</v>
      </c>
      <c r="B3" s="20" t="s">
        <v>284</v>
      </c>
      <c r="C3" s="8"/>
      <c r="D3" s="20" t="s">
        <v>285</v>
      </c>
      <c r="E3" s="8"/>
      <c r="F3" s="8"/>
      <c r="G3" s="8"/>
      <c r="H3" s="8"/>
      <c r="J3" s="18" t="s">
        <v>286</v>
      </c>
      <c r="K3" s="8"/>
    </row>
    <row r="4" spans="1:11" ht="15" thickBot="1">
      <c r="A4" s="8" t="s">
        <v>287</v>
      </c>
      <c r="B4" s="7">
        <v>1.4999999999999999E-2</v>
      </c>
      <c r="C4" s="8"/>
      <c r="D4" s="8"/>
      <c r="E4" s="8"/>
      <c r="F4" s="8"/>
      <c r="G4" s="8"/>
      <c r="H4" s="8"/>
      <c r="J4" s="18" t="s">
        <v>288</v>
      </c>
      <c r="K4" s="8"/>
    </row>
    <row r="5" spans="1:11" ht="15" thickBot="1">
      <c r="A5" s="8" t="s">
        <v>289</v>
      </c>
      <c r="B5" s="7">
        <v>66.459000000000003</v>
      </c>
      <c r="C5" s="8"/>
      <c r="D5" s="7">
        <v>22.148</v>
      </c>
      <c r="E5" s="8"/>
      <c r="F5" s="8" t="s">
        <v>73</v>
      </c>
      <c r="G5" s="7">
        <v>0.26650000000000001</v>
      </c>
      <c r="H5" s="8"/>
      <c r="J5" s="7">
        <v>1</v>
      </c>
      <c r="K5" s="7">
        <v>67.64</v>
      </c>
    </row>
    <row r="6" spans="1:11" ht="29" thickBot="1">
      <c r="A6" s="8" t="s">
        <v>290</v>
      </c>
      <c r="B6" s="7">
        <v>66.510999999999996</v>
      </c>
      <c r="C6" s="8"/>
      <c r="D6" s="7">
        <v>1.7333333329999999E-2</v>
      </c>
      <c r="E6" s="8"/>
      <c r="F6" s="8" t="s">
        <v>291</v>
      </c>
      <c r="G6" s="7">
        <v>0.59799999999999998</v>
      </c>
      <c r="H6" s="8"/>
      <c r="J6" s="7">
        <v>2</v>
      </c>
      <c r="K6" s="7">
        <v>67.45</v>
      </c>
    </row>
    <row r="7" spans="1:11" ht="29" thickBot="1">
      <c r="A7" s="8" t="s">
        <v>292</v>
      </c>
      <c r="B7" s="7">
        <v>67.61</v>
      </c>
      <c r="C7" s="8"/>
      <c r="D7" s="7">
        <v>0.36633333330000001</v>
      </c>
      <c r="E7" s="8"/>
      <c r="F7" s="8" t="s">
        <v>293</v>
      </c>
      <c r="G7" s="7">
        <v>224.3902439</v>
      </c>
      <c r="H7" s="8"/>
      <c r="J7" s="7">
        <v>3</v>
      </c>
      <c r="K7" s="7">
        <v>67.772000000000006</v>
      </c>
    </row>
    <row r="8" spans="1:11" ht="15" thickBot="1">
      <c r="A8" s="7">
        <v>1</v>
      </c>
      <c r="B8" s="7">
        <v>68.768000000000001</v>
      </c>
      <c r="C8" s="8"/>
      <c r="D8" s="7">
        <v>0.38600000000000001</v>
      </c>
      <c r="E8" s="8"/>
      <c r="F8" s="8" t="s">
        <v>72</v>
      </c>
      <c r="G8" s="7">
        <v>0.122</v>
      </c>
      <c r="H8" s="8"/>
      <c r="J8" s="7">
        <v>4</v>
      </c>
      <c r="K8" s="7">
        <v>67.481999999999999</v>
      </c>
    </row>
    <row r="9" spans="1:11" ht="29" thickBot="1">
      <c r="A9" s="7">
        <v>2</v>
      </c>
      <c r="B9" s="7">
        <v>69.680999999999997</v>
      </c>
      <c r="C9" s="8"/>
      <c r="D9" s="7">
        <v>0.30433333330000001</v>
      </c>
      <c r="E9" s="8"/>
      <c r="F9" s="8" t="s">
        <v>294</v>
      </c>
      <c r="G9" s="7">
        <v>0.45778611629999999</v>
      </c>
      <c r="H9" s="8"/>
      <c r="J9" s="7">
        <v>5</v>
      </c>
      <c r="K9" s="7">
        <v>67.625</v>
      </c>
    </row>
    <row r="10" spans="1:11" ht="15" thickBot="1">
      <c r="A10" s="7">
        <v>3</v>
      </c>
      <c r="B10" s="7">
        <v>70.388000000000005</v>
      </c>
      <c r="C10" s="8"/>
      <c r="D10" s="7">
        <v>0.2356666667</v>
      </c>
      <c r="E10" s="8"/>
      <c r="F10" s="8"/>
      <c r="G10" s="8"/>
      <c r="H10" s="8"/>
      <c r="J10" s="8" t="s">
        <v>73</v>
      </c>
      <c r="K10" s="7">
        <v>67.593800000000002</v>
      </c>
    </row>
    <row r="11" spans="1:11" ht="14" thickBot="1">
      <c r="A11" s="7">
        <v>4</v>
      </c>
      <c r="B11" s="7">
        <v>71.152000000000001</v>
      </c>
      <c r="C11" s="8"/>
      <c r="D11" s="7">
        <v>0.25466666669999999</v>
      </c>
      <c r="E11" s="8"/>
      <c r="F11" s="18" t="s">
        <v>295</v>
      </c>
      <c r="G11" s="8"/>
      <c r="H11" s="7">
        <v>9.0609999999999999</v>
      </c>
      <c r="J11" s="8"/>
      <c r="K11" s="7">
        <v>1.06722E-4</v>
      </c>
    </row>
    <row r="12" spans="1:11" ht="14" thickBot="1">
      <c r="A12" s="7">
        <v>5</v>
      </c>
      <c r="B12" s="7">
        <v>71.902000000000001</v>
      </c>
      <c r="C12" s="8"/>
      <c r="D12" s="7">
        <v>0.25</v>
      </c>
      <c r="E12" s="8"/>
      <c r="F12" s="8"/>
      <c r="G12" s="8"/>
      <c r="H12" s="8"/>
      <c r="J12" s="8"/>
      <c r="K12" s="7">
        <v>1.0339220000000001E-3</v>
      </c>
    </row>
    <row r="13" spans="1:11" ht="15" thickBot="1">
      <c r="A13" s="7">
        <v>6</v>
      </c>
      <c r="B13" s="7">
        <v>72.680000000000007</v>
      </c>
      <c r="C13" s="8"/>
      <c r="D13" s="7">
        <v>0.25933333330000002</v>
      </c>
      <c r="E13" s="8"/>
      <c r="F13" s="8" t="s">
        <v>296</v>
      </c>
      <c r="G13" s="8"/>
      <c r="H13" s="8"/>
      <c r="J13" s="8"/>
      <c r="K13" s="7">
        <v>1.5877619999999999E-3</v>
      </c>
    </row>
    <row r="14" spans="1:11" ht="15" thickBot="1">
      <c r="A14" s="7">
        <v>7</v>
      </c>
      <c r="B14" s="7">
        <v>73.55</v>
      </c>
      <c r="C14" s="8"/>
      <c r="D14" s="7">
        <v>0.28999999999999998</v>
      </c>
      <c r="E14" s="8"/>
      <c r="F14" s="8" t="s">
        <v>297</v>
      </c>
      <c r="G14" s="8"/>
      <c r="H14" s="8"/>
      <c r="J14" s="8"/>
      <c r="K14" s="7">
        <v>6.2496199999999996E-4</v>
      </c>
    </row>
    <row r="15" spans="1:11" ht="15" thickBot="1">
      <c r="A15" s="7">
        <v>8</v>
      </c>
      <c r="B15" s="7">
        <v>74.070999999999998</v>
      </c>
      <c r="C15" s="8"/>
      <c r="D15" s="7">
        <v>0.1736666667</v>
      </c>
      <c r="E15" s="8"/>
      <c r="F15" s="8" t="s">
        <v>298</v>
      </c>
      <c r="G15" s="8"/>
      <c r="H15" s="8"/>
      <c r="J15" s="8"/>
      <c r="K15" s="7">
        <v>4.8671999999999997E-5</v>
      </c>
    </row>
    <row r="16" spans="1:11" ht="14" thickBot="1">
      <c r="A16" s="7">
        <v>9</v>
      </c>
      <c r="B16" s="7">
        <v>74.936999999999998</v>
      </c>
      <c r="C16" s="8"/>
      <c r="D16" s="7">
        <v>0.28866666670000002</v>
      </c>
      <c r="E16" s="8"/>
      <c r="F16" s="8"/>
      <c r="G16" s="8"/>
      <c r="H16" s="8"/>
      <c r="J16" s="8"/>
      <c r="K16" s="8"/>
    </row>
    <row r="17" spans="1:11" ht="29" thickBot="1">
      <c r="A17" s="7">
        <v>10</v>
      </c>
      <c r="B17" s="7">
        <v>75.712999999999994</v>
      </c>
      <c r="C17" s="8"/>
      <c r="D17" s="7">
        <v>0.25866666669999999</v>
      </c>
      <c r="E17" s="8"/>
      <c r="F17" s="8"/>
      <c r="G17" s="8"/>
      <c r="H17" s="8"/>
      <c r="J17" s="8" t="s">
        <v>299</v>
      </c>
      <c r="K17" s="7">
        <v>5.832700918E-2</v>
      </c>
    </row>
    <row r="18" spans="1:11" ht="14" thickBot="1">
      <c r="A18" s="7">
        <v>11</v>
      </c>
      <c r="B18" s="7">
        <v>76.44</v>
      </c>
      <c r="C18" s="8"/>
      <c r="D18" s="7">
        <v>0.24233333330000001</v>
      </c>
      <c r="E18" s="8"/>
      <c r="F18" s="8"/>
      <c r="G18" s="8"/>
      <c r="H18" s="8"/>
    </row>
    <row r="19" spans="1:11" ht="14" thickBot="1">
      <c r="A19" s="7">
        <v>12</v>
      </c>
      <c r="B19" s="7">
        <v>77.25</v>
      </c>
      <c r="C19" s="8"/>
      <c r="D19" s="7">
        <v>0.27</v>
      </c>
      <c r="E19" s="8"/>
      <c r="F19" s="8"/>
      <c r="G19" s="8"/>
      <c r="H19" s="8"/>
    </row>
    <row r="20" spans="1:11" ht="14" thickBot="1">
      <c r="A20" s="7">
        <v>13</v>
      </c>
      <c r="B20" s="7">
        <v>77.989999999999995</v>
      </c>
      <c r="C20" s="8"/>
      <c r="D20" s="7">
        <v>0.24666666670000001</v>
      </c>
      <c r="E20" s="8"/>
      <c r="F20" s="8"/>
      <c r="G20" s="8"/>
      <c r="H20" s="8"/>
    </row>
    <row r="21" spans="1:11" ht="14" thickBot="1">
      <c r="A21" s="7">
        <v>14</v>
      </c>
      <c r="B21" s="7">
        <v>78.613</v>
      </c>
      <c r="C21" s="8"/>
      <c r="D21" s="7">
        <v>0.2076666667</v>
      </c>
      <c r="E21" s="8"/>
      <c r="F21" s="8"/>
      <c r="G21" s="8"/>
      <c r="H21" s="8"/>
    </row>
    <row r="22" spans="1:11" ht="14" thickBot="1">
      <c r="A22" s="7">
        <v>15</v>
      </c>
      <c r="B22" s="7">
        <v>79.316000000000003</v>
      </c>
      <c r="C22" s="8"/>
      <c r="D22" s="7">
        <v>0.2343333333</v>
      </c>
      <c r="E22" s="8"/>
      <c r="F22" s="8"/>
      <c r="G22" s="8"/>
      <c r="H22" s="8"/>
    </row>
    <row r="23" spans="1:11" ht="14" thickBot="1">
      <c r="A23" s="7">
        <v>16</v>
      </c>
      <c r="B23" s="7">
        <v>80.090999999999994</v>
      </c>
      <c r="C23" s="8"/>
      <c r="D23" s="7">
        <v>0.25833333330000002</v>
      </c>
      <c r="E23" s="8"/>
      <c r="F23" s="8"/>
      <c r="G23" s="8"/>
      <c r="H23" s="8"/>
    </row>
    <row r="24" spans="1:11" ht="14" thickBot="1">
      <c r="A24" s="7">
        <v>17</v>
      </c>
      <c r="B24" s="7">
        <v>81.885000000000005</v>
      </c>
      <c r="C24" s="8"/>
      <c r="D24" s="7">
        <v>0.59799999999999998</v>
      </c>
      <c r="E24" s="8"/>
      <c r="F24" s="8"/>
      <c r="G24" s="8"/>
      <c r="H24" s="8"/>
    </row>
    <row r="25" spans="1:11" ht="14" thickBot="1">
      <c r="A25" s="7">
        <v>18</v>
      </c>
      <c r="B25" s="7">
        <v>82.686000000000007</v>
      </c>
      <c r="C25" s="8"/>
      <c r="D25" s="7">
        <v>0.26700000000000002</v>
      </c>
      <c r="E25" s="8"/>
      <c r="F25" s="8"/>
      <c r="G25" s="8"/>
      <c r="H25" s="8"/>
    </row>
    <row r="26" spans="1:11" ht="14" thickBot="1">
      <c r="A26" s="7">
        <v>19</v>
      </c>
      <c r="B26" s="7">
        <v>83.53</v>
      </c>
      <c r="C26" s="8"/>
      <c r="D26" s="7">
        <v>0.28133333329999999</v>
      </c>
      <c r="E26" s="8"/>
      <c r="F26" s="8"/>
      <c r="G26" s="8"/>
      <c r="H26" s="8"/>
    </row>
    <row r="27" spans="1:11" ht="14" thickBot="1">
      <c r="A27" s="7">
        <v>20</v>
      </c>
      <c r="B27" s="7">
        <v>84.155000000000001</v>
      </c>
      <c r="C27" s="8"/>
      <c r="D27" s="7">
        <v>0.20833333330000001</v>
      </c>
      <c r="E27" s="8"/>
      <c r="F27" s="8"/>
      <c r="G27" s="8"/>
      <c r="H27" s="8"/>
    </row>
    <row r="28" spans="1:11" ht="14" thickBot="1">
      <c r="A28" s="7">
        <v>21</v>
      </c>
      <c r="B28" s="7">
        <v>84.903999999999996</v>
      </c>
      <c r="C28" s="8"/>
      <c r="D28" s="7">
        <v>0.24966666670000001</v>
      </c>
      <c r="E28" s="8"/>
      <c r="F28" s="8"/>
      <c r="G28" s="8"/>
      <c r="H28" s="8"/>
    </row>
    <row r="29" spans="1:11" ht="14" thickBot="1">
      <c r="A29" s="7">
        <v>22</v>
      </c>
      <c r="B29" s="7">
        <v>85.756</v>
      </c>
      <c r="C29" s="8"/>
      <c r="D29" s="7">
        <v>0.28399999999999997</v>
      </c>
      <c r="E29" s="8"/>
      <c r="F29" s="8"/>
      <c r="G29" s="8"/>
      <c r="H29" s="8"/>
    </row>
    <row r="30" spans="1:11" ht="14" thickBot="1">
      <c r="A30" s="7">
        <v>23</v>
      </c>
      <c r="B30" s="7">
        <v>86.122</v>
      </c>
      <c r="C30" s="8"/>
      <c r="D30" s="7">
        <v>0.122</v>
      </c>
      <c r="E30" s="8"/>
      <c r="F30" s="8"/>
      <c r="G30" s="8"/>
      <c r="H30" s="8"/>
    </row>
    <row r="31" spans="1:11" ht="14" thickBot="1">
      <c r="A31" s="7">
        <v>24</v>
      </c>
      <c r="B31" s="7">
        <v>87.16</v>
      </c>
      <c r="C31" s="8"/>
      <c r="D31" s="7">
        <v>0.34599999999999997</v>
      </c>
      <c r="E31" s="8"/>
      <c r="F31" s="8"/>
      <c r="G31" s="8"/>
      <c r="H31" s="8"/>
    </row>
    <row r="32" spans="1:11" ht="14" thickBot="1">
      <c r="A32" s="7">
        <v>25</v>
      </c>
      <c r="B32" s="7">
        <v>87.71</v>
      </c>
      <c r="C32" s="8"/>
      <c r="D32" s="7">
        <v>0.18333333330000001</v>
      </c>
      <c r="E32" s="8"/>
      <c r="F32" s="8"/>
      <c r="G32" s="8"/>
      <c r="H32" s="8"/>
    </row>
    <row r="33" spans="1:8" ht="14" thickBot="1">
      <c r="A33" s="7">
        <v>26</v>
      </c>
      <c r="B33" s="7">
        <v>88.587999999999994</v>
      </c>
      <c r="C33" s="8"/>
      <c r="D33" s="7">
        <v>0.29266666670000002</v>
      </c>
      <c r="E33" s="8"/>
      <c r="F33" s="8"/>
      <c r="G33" s="8"/>
      <c r="H33" s="8"/>
    </row>
    <row r="34" spans="1:8" ht="14" thickBot="1">
      <c r="A34" s="7">
        <v>27</v>
      </c>
      <c r="B34" s="7">
        <v>89.194999999999993</v>
      </c>
      <c r="C34" s="8"/>
      <c r="D34" s="7">
        <v>0.2023333333</v>
      </c>
      <c r="E34" s="8"/>
      <c r="F34" s="7">
        <v>2.071294559</v>
      </c>
      <c r="G34" s="8"/>
      <c r="H34" s="8"/>
    </row>
    <row r="35" spans="1:8" ht="14" thickBot="1">
      <c r="A35" s="7">
        <v>28</v>
      </c>
      <c r="B35" s="7">
        <v>90.850999999999999</v>
      </c>
      <c r="C35" s="8"/>
      <c r="D35" s="7">
        <v>0.55200000000000005</v>
      </c>
      <c r="E35" s="8"/>
      <c r="F35" s="8"/>
      <c r="G35" s="8"/>
      <c r="H35" s="8"/>
    </row>
    <row r="36" spans="1:8" ht="14" thickBot="1">
      <c r="A36" s="7">
        <v>29</v>
      </c>
      <c r="B36" s="7">
        <v>92</v>
      </c>
      <c r="C36" s="8"/>
      <c r="D36" s="7">
        <v>0.38300000000000001</v>
      </c>
      <c r="E36" s="8"/>
      <c r="F36" s="8"/>
      <c r="G36" s="8"/>
      <c r="H36" s="8"/>
    </row>
    <row r="37" spans="1:8" ht="14" thickBot="1">
      <c r="A37" s="7">
        <v>30</v>
      </c>
      <c r="B37" s="7">
        <v>92.65</v>
      </c>
      <c r="C37" s="8"/>
      <c r="D37" s="7">
        <v>0.21666666670000001</v>
      </c>
      <c r="E37" s="8"/>
      <c r="F37" s="8"/>
      <c r="G37" s="8"/>
      <c r="H37" s="8"/>
    </row>
    <row r="38" spans="1:8" ht="14" thickBot="1">
      <c r="A38" s="7">
        <v>31</v>
      </c>
      <c r="B38" s="7">
        <v>93.405000000000001</v>
      </c>
      <c r="C38" s="8"/>
      <c r="D38" s="7">
        <v>0.25166666669999999</v>
      </c>
      <c r="E38" s="8"/>
      <c r="F38" s="8"/>
      <c r="G38" s="8"/>
      <c r="H38" s="8"/>
    </row>
    <row r="39" spans="1:8" ht="15" thickBot="1">
      <c r="A39" s="8" t="s">
        <v>300</v>
      </c>
      <c r="B39" s="7">
        <v>93.641999999999996</v>
      </c>
      <c r="C39" s="8"/>
      <c r="D39" s="7">
        <v>7.9000000000000001E-2</v>
      </c>
      <c r="E39" s="8"/>
      <c r="F39" s="8"/>
      <c r="G39" s="8"/>
      <c r="H39" s="8"/>
    </row>
    <row r="40" spans="1:8" ht="29" thickBot="1">
      <c r="A40" s="8" t="s">
        <v>301</v>
      </c>
      <c r="B40" s="7">
        <v>130.34200000000001</v>
      </c>
      <c r="C40" s="8"/>
      <c r="D40" s="7">
        <v>12.233333330000001</v>
      </c>
      <c r="E40" s="8"/>
      <c r="F40" s="8"/>
      <c r="G40" s="8"/>
      <c r="H40" s="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1513-284F-49B4-A01D-E17E2A36D8FD}">
  <dimension ref="A1:L55"/>
  <sheetViews>
    <sheetView workbookViewId="0">
      <selection activeCell="C12" sqref="C12"/>
    </sheetView>
  </sheetViews>
  <sheetFormatPr baseColWidth="10" defaultColWidth="8.83203125" defaultRowHeight="13"/>
  <sheetData>
    <row r="1" spans="1:12" ht="29" thickBot="1">
      <c r="A1" s="8" t="s">
        <v>302</v>
      </c>
      <c r="B1" s="8" t="s">
        <v>303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" thickBo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9" thickBot="1">
      <c r="A3" s="8" t="s">
        <v>304</v>
      </c>
      <c r="B3" s="8" t="s">
        <v>305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31" thickBot="1">
      <c r="A4" s="8" t="s">
        <v>306</v>
      </c>
      <c r="B4" s="22" t="s">
        <v>307</v>
      </c>
      <c r="C4" s="8"/>
      <c r="D4" s="8"/>
      <c r="E4" s="8"/>
      <c r="F4" s="8"/>
      <c r="G4" s="7">
        <v>1432</v>
      </c>
      <c r="H4" s="8"/>
      <c r="I4" s="8"/>
      <c r="J4" s="8"/>
      <c r="K4" s="8"/>
      <c r="L4" s="8"/>
    </row>
    <row r="5" spans="1:12" ht="14" thickBo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29" thickBot="1">
      <c r="A6" s="8" t="s">
        <v>308</v>
      </c>
      <c r="B6" s="23">
        <v>64.474999999999994</v>
      </c>
      <c r="C6" s="18" t="s">
        <v>309</v>
      </c>
      <c r="D6" s="8"/>
      <c r="E6" s="7">
        <v>26.85</v>
      </c>
      <c r="F6" s="8" t="s">
        <v>310</v>
      </c>
      <c r="G6" s="8"/>
      <c r="H6" s="8"/>
      <c r="I6" s="8"/>
      <c r="J6" s="8"/>
      <c r="K6" s="8"/>
      <c r="L6" s="8"/>
    </row>
    <row r="7" spans="1:12" ht="43" thickBot="1">
      <c r="A7" s="8" t="s">
        <v>311</v>
      </c>
      <c r="B7" s="7">
        <v>91.325000000000003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" thickBot="1">
      <c r="A8" s="8"/>
      <c r="B8" s="8"/>
      <c r="C8" s="18" t="s">
        <v>312</v>
      </c>
      <c r="D8" s="8"/>
      <c r="E8" s="7">
        <v>8.9499999999999996E-3</v>
      </c>
      <c r="F8" s="8" t="s">
        <v>313</v>
      </c>
      <c r="G8" s="8"/>
      <c r="H8" s="8"/>
      <c r="I8" s="8"/>
      <c r="J8" s="8"/>
      <c r="K8" s="8"/>
      <c r="L8" s="8"/>
    </row>
    <row r="9" spans="1:12" ht="14" thickBo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thickBot="1">
      <c r="A10" s="18" t="s">
        <v>314</v>
      </c>
      <c r="B10" s="8"/>
      <c r="C10" s="18" t="s">
        <v>315</v>
      </c>
      <c r="D10" s="8"/>
      <c r="E10" s="7">
        <v>1432</v>
      </c>
      <c r="F10" s="8" t="s">
        <v>316</v>
      </c>
      <c r="G10" s="8"/>
      <c r="H10" s="8"/>
      <c r="I10" s="8"/>
      <c r="J10" s="7">
        <v>8.7745098039999997E-2</v>
      </c>
      <c r="K10" s="8"/>
      <c r="L10" s="8"/>
    </row>
    <row r="11" spans="1:12" ht="29" thickBot="1">
      <c r="A11" s="8" t="s">
        <v>308</v>
      </c>
      <c r="B11" s="23">
        <v>64.474999999999994</v>
      </c>
      <c r="C11" s="18" t="s">
        <v>317</v>
      </c>
      <c r="D11" s="8"/>
      <c r="E11" s="18" t="s">
        <v>226</v>
      </c>
      <c r="F11" s="8"/>
      <c r="G11" s="18" t="s">
        <v>318</v>
      </c>
      <c r="H11" s="8"/>
      <c r="I11" s="7">
        <v>0.26323529410000002</v>
      </c>
      <c r="J11" s="8" t="s">
        <v>310</v>
      </c>
      <c r="K11" s="8"/>
      <c r="L11" s="8"/>
    </row>
    <row r="12" spans="1:12" ht="43" thickBot="1">
      <c r="A12" s="8" t="s">
        <v>319</v>
      </c>
      <c r="B12" s="7">
        <v>64.617999999999995</v>
      </c>
      <c r="C12" s="7">
        <v>0.14299999999999999</v>
      </c>
      <c r="D12" s="8"/>
      <c r="E12" s="7">
        <v>4.7666666670000003E-2</v>
      </c>
      <c r="F12" s="8"/>
      <c r="G12" s="18" t="s">
        <v>320</v>
      </c>
      <c r="H12" s="8"/>
      <c r="I12" s="7">
        <v>0.4566666667</v>
      </c>
      <c r="J12" s="18" t="s">
        <v>321</v>
      </c>
      <c r="K12" s="8"/>
      <c r="L12" s="8"/>
    </row>
    <row r="13" spans="1:12" ht="43" thickBot="1">
      <c r="A13" s="8" t="s">
        <v>322</v>
      </c>
      <c r="B13" s="7">
        <v>65.635000000000005</v>
      </c>
      <c r="C13" s="7">
        <v>1.0169999999999999</v>
      </c>
      <c r="D13" s="8"/>
      <c r="E13" s="7">
        <v>0.33900000000000002</v>
      </c>
      <c r="F13" s="8"/>
      <c r="G13" s="18" t="s">
        <v>323</v>
      </c>
      <c r="H13" s="8"/>
      <c r="I13" s="7">
        <v>173.48230910000001</v>
      </c>
      <c r="J13" s="8" t="s">
        <v>324</v>
      </c>
      <c r="K13" s="8" t="s">
        <v>325</v>
      </c>
      <c r="L13" s="8"/>
    </row>
    <row r="14" spans="1:12" ht="14" thickBot="1">
      <c r="A14" s="7">
        <v>1</v>
      </c>
      <c r="B14" s="7">
        <v>66.570999999999998</v>
      </c>
      <c r="C14" s="7">
        <v>0.93600000000000005</v>
      </c>
      <c r="D14" s="8"/>
      <c r="E14" s="7">
        <v>0.312</v>
      </c>
      <c r="F14" s="8"/>
      <c r="G14" s="18" t="s">
        <v>326</v>
      </c>
      <c r="H14" s="8"/>
      <c r="I14" s="7">
        <v>3.2666666669999997E-2</v>
      </c>
      <c r="J14" s="8"/>
      <c r="K14" s="8"/>
      <c r="L14" s="8"/>
    </row>
    <row r="15" spans="1:12" ht="29" thickBot="1">
      <c r="A15" s="7">
        <v>2</v>
      </c>
      <c r="B15" s="7">
        <v>67.334999999999994</v>
      </c>
      <c r="C15" s="7">
        <v>0.76400000000000001</v>
      </c>
      <c r="D15" s="8"/>
      <c r="E15" s="7">
        <v>0.25466666669999999</v>
      </c>
      <c r="F15" s="8"/>
      <c r="G15" s="8" t="s">
        <v>327</v>
      </c>
      <c r="H15" s="8"/>
      <c r="I15" s="7">
        <v>7.1532846719999998</v>
      </c>
      <c r="J15" s="8" t="s">
        <v>324</v>
      </c>
      <c r="K15" s="8" t="s">
        <v>325</v>
      </c>
      <c r="L15" s="8" t="s">
        <v>328</v>
      </c>
    </row>
    <row r="16" spans="1:12" ht="14" thickBot="1">
      <c r="A16" s="7">
        <v>3</v>
      </c>
      <c r="B16" s="7">
        <v>68.34</v>
      </c>
      <c r="C16" s="7">
        <v>1.0049999999999999</v>
      </c>
      <c r="D16" s="8"/>
      <c r="E16" s="7">
        <v>0.33500000000000002</v>
      </c>
      <c r="F16" s="8"/>
      <c r="G16" s="8"/>
      <c r="H16" s="8"/>
      <c r="I16" s="8"/>
      <c r="J16" s="8"/>
      <c r="K16" s="8"/>
      <c r="L16" s="8"/>
    </row>
    <row r="17" spans="1:12" ht="14" thickBot="1">
      <c r="A17" s="7">
        <v>4</v>
      </c>
      <c r="B17" s="7">
        <v>69.191000000000003</v>
      </c>
      <c r="C17" s="7">
        <v>0.85099999999999998</v>
      </c>
      <c r="D17" s="8"/>
      <c r="E17" s="7">
        <v>0.28366666670000001</v>
      </c>
      <c r="F17" s="8"/>
      <c r="G17" s="8"/>
      <c r="H17" s="8"/>
      <c r="I17" s="8"/>
      <c r="J17" s="8"/>
      <c r="K17" s="8"/>
      <c r="L17" s="8"/>
    </row>
    <row r="18" spans="1:12" ht="14" thickBot="1">
      <c r="A18" s="7">
        <v>5</v>
      </c>
      <c r="B18" s="7">
        <v>70.081999999999994</v>
      </c>
      <c r="C18" s="7">
        <v>0.89100000000000001</v>
      </c>
      <c r="D18" s="8"/>
      <c r="E18" s="7">
        <v>0.29699999999999999</v>
      </c>
      <c r="F18" s="8"/>
      <c r="G18" s="8"/>
      <c r="H18" s="8"/>
      <c r="I18" s="8"/>
      <c r="J18" s="8"/>
      <c r="K18" s="8"/>
      <c r="L18" s="8"/>
    </row>
    <row r="19" spans="1:12" ht="14" thickBot="1">
      <c r="A19" s="7">
        <v>6</v>
      </c>
      <c r="B19" s="7">
        <v>70.83</v>
      </c>
      <c r="C19" s="7">
        <v>0.748</v>
      </c>
      <c r="D19" s="8"/>
      <c r="E19" s="7">
        <v>0.24933333329999999</v>
      </c>
      <c r="F19" s="8"/>
      <c r="G19" s="8"/>
      <c r="H19" s="8"/>
      <c r="I19" s="8"/>
      <c r="J19" s="8"/>
      <c r="K19" s="8"/>
      <c r="L19" s="8"/>
    </row>
    <row r="20" spans="1:12" ht="14" thickBot="1">
      <c r="A20" s="7">
        <v>7</v>
      </c>
      <c r="B20" s="7">
        <v>71.75</v>
      </c>
      <c r="C20" s="7">
        <v>0.92</v>
      </c>
      <c r="D20" s="8"/>
      <c r="E20" s="7">
        <v>0.30666666669999998</v>
      </c>
      <c r="F20" s="8"/>
      <c r="G20" s="8"/>
      <c r="H20" s="8"/>
      <c r="I20" s="8"/>
      <c r="J20" s="8"/>
      <c r="K20" s="8"/>
      <c r="L20" s="8"/>
    </row>
    <row r="21" spans="1:12" ht="14" thickBot="1">
      <c r="A21" s="7">
        <v>8</v>
      </c>
      <c r="B21" s="7">
        <v>71.847999999999999</v>
      </c>
      <c r="C21" s="7">
        <v>9.8000000000000004E-2</v>
      </c>
      <c r="D21" s="8"/>
      <c r="E21" s="7">
        <v>3.2666666669999997E-2</v>
      </c>
      <c r="F21" s="7">
        <v>0.1240968343</v>
      </c>
      <c r="G21" s="8"/>
      <c r="H21" s="8"/>
      <c r="I21" s="8"/>
      <c r="J21" s="8"/>
      <c r="K21" s="8"/>
      <c r="L21" s="8"/>
    </row>
    <row r="22" spans="1:12" ht="14" thickBot="1">
      <c r="A22" s="7">
        <v>9</v>
      </c>
      <c r="B22" s="7">
        <v>72.55</v>
      </c>
      <c r="C22" s="7">
        <v>0.70199999999999996</v>
      </c>
      <c r="D22" s="8"/>
      <c r="E22" s="7">
        <v>0.23400000000000001</v>
      </c>
      <c r="F22" s="8"/>
      <c r="G22" s="8"/>
      <c r="H22" s="8"/>
      <c r="I22" s="8"/>
      <c r="J22" s="8"/>
      <c r="K22" s="8"/>
      <c r="L22" s="8"/>
    </row>
    <row r="23" spans="1:12" ht="14" thickBot="1">
      <c r="A23" s="7">
        <v>10</v>
      </c>
      <c r="B23" s="7">
        <v>73.355000000000004</v>
      </c>
      <c r="C23" s="7">
        <v>0.80500000000000005</v>
      </c>
      <c r="D23" s="8"/>
      <c r="E23" s="7">
        <v>0.26833333329999998</v>
      </c>
      <c r="F23" s="8"/>
      <c r="G23" s="8"/>
      <c r="H23" s="8"/>
      <c r="I23" s="8"/>
      <c r="J23" s="8"/>
      <c r="K23" s="8"/>
      <c r="L23" s="8"/>
    </row>
    <row r="24" spans="1:12" ht="14" thickBot="1">
      <c r="A24" s="7">
        <v>11</v>
      </c>
      <c r="B24" s="7">
        <v>74.06</v>
      </c>
      <c r="C24" s="7">
        <v>0.70499999999999996</v>
      </c>
      <c r="D24" s="8"/>
      <c r="E24" s="7">
        <v>0.23499999999999999</v>
      </c>
      <c r="F24" s="8"/>
      <c r="G24" s="8"/>
      <c r="H24" s="8"/>
      <c r="I24" s="8"/>
      <c r="J24" s="8"/>
      <c r="K24" s="8"/>
      <c r="L24" s="8"/>
    </row>
    <row r="25" spans="1:12" ht="14" thickBot="1">
      <c r="A25" s="7">
        <v>12</v>
      </c>
      <c r="B25" s="7">
        <v>74.263999999999996</v>
      </c>
      <c r="C25" s="7">
        <v>0.20399999999999999</v>
      </c>
      <c r="D25" s="8"/>
      <c r="E25" s="7">
        <v>6.8000000000000005E-2</v>
      </c>
      <c r="F25" s="8"/>
      <c r="G25" s="7">
        <v>0.25832402230000001</v>
      </c>
      <c r="H25" s="8"/>
      <c r="I25" s="8"/>
      <c r="J25" s="8"/>
      <c r="K25" s="8"/>
      <c r="L25" s="8"/>
    </row>
    <row r="26" spans="1:12" ht="14" thickBot="1">
      <c r="A26" s="7">
        <v>13</v>
      </c>
      <c r="B26" s="7">
        <v>75.051000000000002</v>
      </c>
      <c r="C26" s="7">
        <v>0.78700000000000003</v>
      </c>
      <c r="D26" s="8"/>
      <c r="E26" s="7">
        <v>0.26233333330000003</v>
      </c>
      <c r="F26" s="8"/>
      <c r="G26" s="8"/>
      <c r="H26" s="8"/>
      <c r="I26" s="8"/>
      <c r="J26" s="8"/>
      <c r="K26" s="8"/>
      <c r="L26" s="8"/>
    </row>
    <row r="27" spans="1:12" ht="14" thickBot="1">
      <c r="A27" s="7">
        <v>14</v>
      </c>
      <c r="B27" s="7">
        <v>75.728999999999999</v>
      </c>
      <c r="C27" s="7">
        <v>0.67800000000000005</v>
      </c>
      <c r="D27" s="8"/>
      <c r="E27" s="7">
        <v>0.22600000000000001</v>
      </c>
      <c r="F27" s="8"/>
      <c r="G27" s="8"/>
      <c r="H27" s="8"/>
      <c r="I27" s="8"/>
      <c r="J27" s="8"/>
      <c r="K27" s="8"/>
      <c r="L27" s="8"/>
    </row>
    <row r="28" spans="1:12" ht="14" thickBot="1">
      <c r="A28" s="7">
        <v>15</v>
      </c>
      <c r="B28" s="7">
        <v>76.512</v>
      </c>
      <c r="C28" s="7">
        <v>0.78300000000000003</v>
      </c>
      <c r="D28" s="8"/>
      <c r="E28" s="7">
        <v>0.26100000000000001</v>
      </c>
      <c r="F28" s="8"/>
      <c r="G28" s="8"/>
      <c r="H28" s="8"/>
      <c r="I28" s="8"/>
      <c r="J28" s="8"/>
      <c r="K28" s="8"/>
      <c r="L28" s="8"/>
    </row>
    <row r="29" spans="1:12" ht="14" thickBot="1">
      <c r="A29" s="7">
        <v>16</v>
      </c>
      <c r="B29" s="7">
        <v>77.305000000000007</v>
      </c>
      <c r="C29" s="7">
        <v>0.79300000000000004</v>
      </c>
      <c r="D29" s="8"/>
      <c r="E29" s="7">
        <v>0.26433333329999997</v>
      </c>
      <c r="F29" s="8"/>
      <c r="G29" s="8"/>
      <c r="H29" s="8"/>
      <c r="I29" s="8"/>
      <c r="J29" s="8"/>
      <c r="K29" s="8"/>
      <c r="L29" s="8"/>
    </row>
    <row r="30" spans="1:12" ht="14" thickBot="1">
      <c r="A30" s="7">
        <v>17</v>
      </c>
      <c r="B30" s="7">
        <v>77.850999999999999</v>
      </c>
      <c r="C30" s="7">
        <v>0.54600000000000004</v>
      </c>
      <c r="D30" s="8"/>
      <c r="E30" s="7">
        <v>0.182</v>
      </c>
      <c r="F30" s="8"/>
      <c r="G30" s="8"/>
      <c r="H30" s="8"/>
      <c r="I30" s="8"/>
      <c r="J30" s="8"/>
      <c r="K30" s="8"/>
      <c r="L30" s="8"/>
    </row>
    <row r="31" spans="1:12" ht="14" thickBot="1">
      <c r="A31" s="7">
        <v>18</v>
      </c>
      <c r="B31" s="7">
        <v>78.275000000000006</v>
      </c>
      <c r="C31" s="7">
        <v>0.42399999999999999</v>
      </c>
      <c r="D31" s="8"/>
      <c r="E31" s="7">
        <v>0.1413333333</v>
      </c>
      <c r="F31" s="8"/>
      <c r="G31" s="8"/>
      <c r="H31" s="8"/>
      <c r="I31" s="8"/>
      <c r="J31" s="8"/>
      <c r="K31" s="8"/>
      <c r="L31" s="8"/>
    </row>
    <row r="32" spans="1:12" ht="14" thickBot="1">
      <c r="A32" s="7">
        <v>19</v>
      </c>
      <c r="B32" s="7">
        <v>79.182000000000002</v>
      </c>
      <c r="C32" s="7">
        <v>0.90700000000000003</v>
      </c>
      <c r="D32" s="8"/>
      <c r="E32" s="7">
        <v>0.30233333330000001</v>
      </c>
      <c r="F32" s="8"/>
      <c r="G32" s="8"/>
      <c r="H32" s="8"/>
      <c r="I32" s="8"/>
      <c r="J32" s="8"/>
      <c r="K32" s="8"/>
      <c r="L32" s="8"/>
    </row>
    <row r="33" spans="1:12" ht="14" thickBot="1">
      <c r="A33" s="7">
        <v>20</v>
      </c>
      <c r="B33" s="7">
        <v>80.206999999999994</v>
      </c>
      <c r="C33" s="7">
        <v>1.0249999999999999</v>
      </c>
      <c r="D33" s="8"/>
      <c r="E33" s="7">
        <v>0.34166666670000001</v>
      </c>
      <c r="F33" s="8"/>
      <c r="G33" s="8"/>
      <c r="H33" s="8"/>
      <c r="I33" s="8"/>
      <c r="J33" s="8"/>
      <c r="K33" s="8"/>
      <c r="L33" s="8"/>
    </row>
    <row r="34" spans="1:12" ht="14" thickBot="1">
      <c r="A34" s="7">
        <v>21</v>
      </c>
      <c r="B34" s="7">
        <v>80.902000000000001</v>
      </c>
      <c r="C34" s="7">
        <v>0.69499999999999995</v>
      </c>
      <c r="D34" s="8"/>
      <c r="E34" s="7">
        <v>0.2316666667</v>
      </c>
      <c r="F34" s="8"/>
      <c r="G34" s="8"/>
      <c r="H34" s="8"/>
      <c r="I34" s="8"/>
      <c r="J34" s="8"/>
      <c r="K34" s="8"/>
      <c r="L34" s="8"/>
    </row>
    <row r="35" spans="1:12" ht="14" thickBot="1">
      <c r="A35" s="7">
        <v>22</v>
      </c>
      <c r="B35" s="7">
        <v>81.84</v>
      </c>
      <c r="C35" s="7">
        <v>0.93799999999999994</v>
      </c>
      <c r="D35" s="8"/>
      <c r="E35" s="7">
        <v>0.31266666669999998</v>
      </c>
      <c r="F35" s="8"/>
      <c r="G35" s="8"/>
      <c r="H35" s="8"/>
      <c r="I35" s="8"/>
      <c r="J35" s="8"/>
      <c r="K35" s="8"/>
      <c r="L35" s="8"/>
    </row>
    <row r="36" spans="1:12" ht="14" thickBot="1">
      <c r="A36" s="7">
        <v>23</v>
      </c>
      <c r="B36" s="7">
        <v>82.82</v>
      </c>
      <c r="C36" s="7">
        <v>0.98</v>
      </c>
      <c r="D36" s="8"/>
      <c r="E36" s="7">
        <v>0.3266666667</v>
      </c>
      <c r="F36" s="8"/>
      <c r="G36" s="8"/>
      <c r="H36" s="8"/>
      <c r="I36" s="8"/>
      <c r="J36" s="8"/>
      <c r="K36" s="8"/>
      <c r="L36" s="8"/>
    </row>
    <row r="37" spans="1:12" ht="14" thickBot="1">
      <c r="A37" s="7">
        <v>24</v>
      </c>
      <c r="B37" s="7">
        <v>83.6</v>
      </c>
      <c r="C37" s="7">
        <v>0.78</v>
      </c>
      <c r="D37" s="8"/>
      <c r="E37" s="7">
        <v>0.26</v>
      </c>
      <c r="F37" s="8"/>
      <c r="G37" s="8"/>
      <c r="H37" s="8"/>
      <c r="I37" s="8"/>
      <c r="J37" s="8"/>
      <c r="K37" s="8"/>
      <c r="L37" s="8"/>
    </row>
    <row r="38" spans="1:12" ht="14" thickBot="1">
      <c r="A38" s="7">
        <v>25</v>
      </c>
      <c r="B38" s="7">
        <v>84.34</v>
      </c>
      <c r="C38" s="7">
        <v>0.74</v>
      </c>
      <c r="D38" s="8"/>
      <c r="E38" s="7">
        <v>0.24666666670000001</v>
      </c>
      <c r="F38" s="8"/>
      <c r="G38" s="8"/>
      <c r="H38" s="8"/>
      <c r="I38" s="8"/>
      <c r="J38" s="8"/>
      <c r="K38" s="8"/>
      <c r="L38" s="8"/>
    </row>
    <row r="39" spans="1:12" ht="14" thickBot="1">
      <c r="A39" s="7">
        <v>26</v>
      </c>
      <c r="B39" s="7">
        <v>84.977000000000004</v>
      </c>
      <c r="C39" s="7">
        <v>0.63700000000000001</v>
      </c>
      <c r="D39" s="8"/>
      <c r="E39" s="7">
        <v>0.21233333330000001</v>
      </c>
      <c r="F39" s="8"/>
      <c r="G39" s="8"/>
      <c r="H39" s="8"/>
      <c r="I39" s="8"/>
      <c r="J39" s="8"/>
      <c r="K39" s="8"/>
      <c r="L39" s="8"/>
    </row>
    <row r="40" spans="1:12" ht="14" thickBot="1">
      <c r="A40" s="7">
        <v>27</v>
      </c>
      <c r="B40" s="7">
        <v>86.033000000000001</v>
      </c>
      <c r="C40" s="7">
        <v>1.056</v>
      </c>
      <c r="D40" s="8"/>
      <c r="E40" s="7">
        <v>0.35199999999999998</v>
      </c>
      <c r="F40" s="8"/>
      <c r="G40" s="8"/>
      <c r="H40" s="8"/>
      <c r="I40" s="8"/>
      <c r="J40" s="8"/>
      <c r="K40" s="8"/>
      <c r="L40" s="8"/>
    </row>
    <row r="41" spans="1:12" ht="14" thickBot="1">
      <c r="A41" s="7">
        <v>28</v>
      </c>
      <c r="B41" s="7">
        <v>87.277000000000001</v>
      </c>
      <c r="C41" s="7">
        <v>1.244</v>
      </c>
      <c r="D41" s="8"/>
      <c r="E41" s="7">
        <v>0.41466666670000002</v>
      </c>
      <c r="F41" s="8"/>
      <c r="G41" s="8"/>
      <c r="H41" s="8"/>
      <c r="I41" s="8"/>
      <c r="J41" s="8"/>
      <c r="K41" s="8"/>
      <c r="L41" s="8"/>
    </row>
    <row r="42" spans="1:12" ht="14" thickBot="1">
      <c r="A42" s="7">
        <v>29</v>
      </c>
      <c r="B42" s="7">
        <v>88.33</v>
      </c>
      <c r="C42" s="7">
        <v>1.0529999999999999</v>
      </c>
      <c r="D42" s="8"/>
      <c r="E42" s="7">
        <v>0.35099999999999998</v>
      </c>
      <c r="F42" s="8"/>
      <c r="G42" s="8"/>
      <c r="H42" s="8"/>
      <c r="I42" s="8"/>
      <c r="J42" s="8"/>
      <c r="K42" s="8"/>
      <c r="L42" s="8"/>
    </row>
    <row r="43" spans="1:12" ht="14" thickBot="1">
      <c r="A43" s="7">
        <v>30</v>
      </c>
      <c r="B43" s="7">
        <v>89.7</v>
      </c>
      <c r="C43" s="7">
        <v>1.37</v>
      </c>
      <c r="D43" s="8"/>
      <c r="E43" s="7">
        <v>0.4566666667</v>
      </c>
      <c r="F43" s="8"/>
      <c r="G43" s="8"/>
      <c r="H43" s="8"/>
      <c r="I43" s="8"/>
      <c r="J43" s="8"/>
      <c r="K43" s="8"/>
      <c r="L43" s="8"/>
    </row>
    <row r="44" spans="1:12" ht="14" thickBot="1">
      <c r="A44" s="7">
        <v>31</v>
      </c>
      <c r="B44" s="7">
        <v>90.67</v>
      </c>
      <c r="C44" s="7">
        <v>0.97</v>
      </c>
      <c r="D44" s="8"/>
      <c r="E44" s="7">
        <v>0.32333333330000003</v>
      </c>
      <c r="F44" s="8"/>
      <c r="G44" s="8"/>
      <c r="H44" s="8"/>
      <c r="I44" s="8"/>
      <c r="J44" s="8"/>
      <c r="K44" s="8"/>
      <c r="L44" s="8"/>
    </row>
    <row r="45" spans="1:12" ht="15" thickBot="1">
      <c r="A45" s="8" t="s">
        <v>300</v>
      </c>
      <c r="B45" s="7">
        <v>91.325000000000003</v>
      </c>
      <c r="C45" s="7">
        <v>0.65500000000000003</v>
      </c>
      <c r="D45" s="8"/>
      <c r="E45" s="7">
        <v>0.21833333329999999</v>
      </c>
      <c r="F45" s="8"/>
      <c r="G45" s="8"/>
      <c r="H45" s="8"/>
      <c r="I45" s="8"/>
      <c r="J45" s="8"/>
      <c r="K45" s="8"/>
      <c r="L45" s="8"/>
    </row>
    <row r="46" spans="1:12" ht="14" thickBo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15" thickBot="1">
      <c r="A47" s="18" t="s">
        <v>329</v>
      </c>
      <c r="B47" s="8"/>
      <c r="C47" s="8"/>
      <c r="D47" s="8"/>
      <c r="E47" s="7">
        <v>1</v>
      </c>
      <c r="F47" s="7">
        <v>66.14</v>
      </c>
      <c r="G47" s="8" t="s">
        <v>310</v>
      </c>
      <c r="H47" s="8"/>
      <c r="I47" s="8"/>
      <c r="J47" s="8"/>
      <c r="K47" s="8"/>
      <c r="L47" s="8"/>
    </row>
    <row r="48" spans="1:12" ht="15" thickBot="1">
      <c r="A48" s="8"/>
      <c r="B48" s="8"/>
      <c r="C48" s="8"/>
      <c r="D48" s="8"/>
      <c r="E48" s="7">
        <v>2</v>
      </c>
      <c r="F48" s="7">
        <v>66.367999999999995</v>
      </c>
      <c r="G48" s="8" t="s">
        <v>310</v>
      </c>
      <c r="H48" s="8"/>
      <c r="I48" s="8"/>
      <c r="J48" s="8"/>
      <c r="K48" s="8"/>
      <c r="L48" s="8"/>
    </row>
    <row r="49" spans="1:12" ht="15" thickBot="1">
      <c r="A49" s="8"/>
      <c r="B49" s="8"/>
      <c r="C49" s="8"/>
      <c r="D49" s="8"/>
      <c r="E49" s="7">
        <v>3</v>
      </c>
      <c r="F49" s="7">
        <v>66.3</v>
      </c>
      <c r="G49" s="8" t="s">
        <v>310</v>
      </c>
      <c r="H49" s="8"/>
      <c r="I49" s="8"/>
      <c r="J49" s="8"/>
      <c r="K49" s="8"/>
      <c r="L49" s="8"/>
    </row>
    <row r="50" spans="1:12" ht="15" thickBot="1">
      <c r="A50" s="8"/>
      <c r="B50" s="8"/>
      <c r="C50" s="8"/>
      <c r="D50" s="8"/>
      <c r="E50" s="7">
        <v>4</v>
      </c>
      <c r="F50" s="7">
        <v>66.295000000000002</v>
      </c>
      <c r="G50" s="8" t="s">
        <v>310</v>
      </c>
      <c r="H50" s="8"/>
      <c r="I50" s="8"/>
      <c r="J50" s="8"/>
      <c r="K50" s="8"/>
      <c r="L50" s="8"/>
    </row>
    <row r="51" spans="1:12" ht="15" thickBot="1">
      <c r="A51" s="8"/>
      <c r="B51" s="8"/>
      <c r="C51" s="8"/>
      <c r="D51" s="8"/>
      <c r="E51" s="7">
        <v>5</v>
      </c>
      <c r="F51" s="7">
        <v>66.275000000000006</v>
      </c>
      <c r="G51" s="8" t="s">
        <v>310</v>
      </c>
      <c r="H51" s="8"/>
      <c r="I51" s="8"/>
      <c r="J51" s="8"/>
      <c r="K51" s="8"/>
      <c r="L51" s="8"/>
    </row>
    <row r="52" spans="1:12" ht="14" thickBo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15" thickBot="1">
      <c r="A53" s="8"/>
      <c r="B53" s="8"/>
      <c r="C53" s="8"/>
      <c r="D53" s="8"/>
      <c r="E53" s="8" t="s">
        <v>227</v>
      </c>
      <c r="F53" s="7">
        <v>66.367999999999995</v>
      </c>
      <c r="G53" s="8" t="s">
        <v>310</v>
      </c>
      <c r="H53" s="8"/>
      <c r="I53" s="8"/>
      <c r="J53" s="8"/>
      <c r="K53" s="8"/>
      <c r="L53" s="8"/>
    </row>
    <row r="54" spans="1:12" ht="15" thickBot="1">
      <c r="A54" s="8"/>
      <c r="B54" s="8"/>
      <c r="C54" s="8"/>
      <c r="D54" s="8"/>
      <c r="E54" s="8" t="s">
        <v>228</v>
      </c>
      <c r="F54" s="7">
        <v>66.14</v>
      </c>
      <c r="G54" s="8" t="s">
        <v>310</v>
      </c>
      <c r="H54" s="8"/>
      <c r="I54" s="8"/>
      <c r="J54" s="8"/>
      <c r="K54" s="8"/>
      <c r="L54" s="8"/>
    </row>
    <row r="55" spans="1:12" ht="29" thickBot="1">
      <c r="A55" s="8"/>
      <c r="B55" s="8"/>
      <c r="C55" s="8"/>
      <c r="D55" s="8"/>
      <c r="E55" s="8" t="s">
        <v>299</v>
      </c>
      <c r="F55" s="7">
        <v>0.114</v>
      </c>
      <c r="G55" s="8" t="s">
        <v>310</v>
      </c>
      <c r="H55" s="8"/>
      <c r="I55" s="8"/>
      <c r="J55" s="8"/>
      <c r="K55" s="8"/>
      <c r="L55" s="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2E31-685C-4467-8F23-CED4EDB0B285}">
  <dimension ref="A1:K23"/>
  <sheetViews>
    <sheetView workbookViewId="0">
      <selection activeCell="D21" sqref="D21"/>
    </sheetView>
  </sheetViews>
  <sheetFormatPr baseColWidth="10" defaultColWidth="8.83203125" defaultRowHeight="13"/>
  <sheetData>
    <row r="1" spans="1:11" ht="15" thickBot="1">
      <c r="A1" s="8" t="s">
        <v>23</v>
      </c>
      <c r="B1" s="8" t="s">
        <v>103</v>
      </c>
      <c r="C1" s="8" t="s">
        <v>102</v>
      </c>
      <c r="D1" s="8" t="s">
        <v>247</v>
      </c>
      <c r="E1" s="8" t="s">
        <v>106</v>
      </c>
      <c r="F1" s="8" t="s">
        <v>330</v>
      </c>
      <c r="G1" s="8" t="s">
        <v>331</v>
      </c>
      <c r="H1" s="8" t="s">
        <v>332</v>
      </c>
    </row>
    <row r="2" spans="1:11" ht="71" thickBot="1">
      <c r="A2" s="7">
        <v>0</v>
      </c>
      <c r="B2" s="7">
        <v>0</v>
      </c>
      <c r="C2" s="7">
        <v>0</v>
      </c>
      <c r="D2" s="7">
        <v>14.9</v>
      </c>
      <c r="E2" s="7">
        <v>19.899999999999999</v>
      </c>
      <c r="F2" s="7">
        <v>15</v>
      </c>
      <c r="G2" s="7">
        <v>14.6</v>
      </c>
      <c r="H2" s="7">
        <v>19.7</v>
      </c>
      <c r="J2" s="26" t="s">
        <v>333</v>
      </c>
      <c r="K2" s="9" t="s">
        <v>334</v>
      </c>
    </row>
    <row r="3" spans="1:11" ht="14" thickBot="1">
      <c r="A3" s="7">
        <v>100</v>
      </c>
      <c r="B3" s="7">
        <v>71</v>
      </c>
      <c r="C3" s="7">
        <v>0.72199999999999998</v>
      </c>
      <c r="D3" s="7">
        <v>15.1</v>
      </c>
      <c r="E3" s="7">
        <v>20</v>
      </c>
      <c r="F3" s="7">
        <v>15.3</v>
      </c>
      <c r="G3" s="7">
        <v>15.1</v>
      </c>
      <c r="H3" s="7">
        <v>19.8</v>
      </c>
    </row>
    <row r="4" spans="1:11" ht="14" thickBot="1">
      <c r="A4" s="7">
        <v>135</v>
      </c>
      <c r="B4" s="7">
        <v>129.39750000000001</v>
      </c>
      <c r="C4" s="7">
        <v>0.97399999999999998</v>
      </c>
      <c r="D4" s="7">
        <v>15.2</v>
      </c>
      <c r="E4" s="7">
        <v>20.2</v>
      </c>
      <c r="F4" s="7">
        <v>15.9</v>
      </c>
      <c r="G4" s="7">
        <v>15</v>
      </c>
      <c r="H4" s="7">
        <v>19.7</v>
      </c>
    </row>
    <row r="5" spans="1:11" ht="14" thickBot="1">
      <c r="A5" s="7">
        <v>160</v>
      </c>
      <c r="B5" s="7">
        <v>181.76</v>
      </c>
      <c r="C5" s="7">
        <v>1.161</v>
      </c>
      <c r="D5" s="7">
        <v>15.7</v>
      </c>
      <c r="E5" s="7">
        <v>20.6</v>
      </c>
      <c r="F5" s="7">
        <v>16.100000000000001</v>
      </c>
      <c r="G5" s="7">
        <v>15.1</v>
      </c>
      <c r="H5" s="7">
        <v>20.6</v>
      </c>
    </row>
    <row r="6" spans="1:11" ht="14" thickBot="1">
      <c r="A6" s="7">
        <v>175</v>
      </c>
      <c r="B6" s="7">
        <v>217.4375</v>
      </c>
      <c r="C6" s="7">
        <v>1.2689999999999999</v>
      </c>
      <c r="D6" s="7">
        <v>16.399999999999999</v>
      </c>
      <c r="E6" s="7">
        <v>20.6</v>
      </c>
      <c r="F6" s="7">
        <v>16.100000000000001</v>
      </c>
      <c r="G6" s="7">
        <v>15.4</v>
      </c>
      <c r="H6" s="7">
        <v>21.3</v>
      </c>
    </row>
    <row r="7" spans="1:11" ht="14" thickBot="1">
      <c r="A7" s="7">
        <v>190</v>
      </c>
      <c r="B7" s="24">
        <v>256.31</v>
      </c>
      <c r="C7" s="7">
        <v>1.3819999999999999</v>
      </c>
      <c r="D7" s="7">
        <v>16.5</v>
      </c>
      <c r="E7" s="7">
        <v>21.2</v>
      </c>
      <c r="F7" s="7">
        <v>16.3</v>
      </c>
      <c r="G7" s="7">
        <v>15.4</v>
      </c>
      <c r="H7" s="7">
        <v>22.1</v>
      </c>
    </row>
    <row r="8" spans="1:11" ht="14" thickBot="1">
      <c r="A8" s="7">
        <v>200</v>
      </c>
      <c r="B8" s="7">
        <v>284</v>
      </c>
      <c r="C8" s="7">
        <v>1.456</v>
      </c>
      <c r="D8" s="7">
        <v>16.7</v>
      </c>
      <c r="E8" s="7">
        <v>21.3</v>
      </c>
      <c r="F8" s="7">
        <v>16.399999999999999</v>
      </c>
      <c r="G8" s="7">
        <v>15.8</v>
      </c>
      <c r="H8" s="7">
        <v>22.9</v>
      </c>
    </row>
    <row r="9" spans="1:11" ht="14" thickBot="1">
      <c r="A9" s="7">
        <v>210</v>
      </c>
      <c r="B9" s="24">
        <v>313.11</v>
      </c>
      <c r="C9" s="7">
        <v>1.53</v>
      </c>
      <c r="D9" s="7">
        <v>16.7</v>
      </c>
      <c r="E9" s="7">
        <v>21.6</v>
      </c>
      <c r="F9" s="7">
        <v>16.5</v>
      </c>
      <c r="G9" s="7">
        <v>16.600000000000001</v>
      </c>
      <c r="H9" s="7">
        <v>23.3</v>
      </c>
    </row>
    <row r="10" spans="1:11" ht="14" thickBot="1">
      <c r="A10" s="7">
        <v>220</v>
      </c>
      <c r="B10" s="7">
        <v>343.64</v>
      </c>
      <c r="C10" s="7">
        <v>1.6040000000000001</v>
      </c>
      <c r="D10" s="7">
        <v>16.8</v>
      </c>
      <c r="E10" s="7">
        <v>22.1</v>
      </c>
      <c r="F10" s="7">
        <v>16.7</v>
      </c>
      <c r="G10" s="7">
        <v>16.600000000000001</v>
      </c>
      <c r="H10" s="7">
        <v>23.6</v>
      </c>
    </row>
    <row r="11" spans="1:11" ht="14" thickBot="1">
      <c r="A11" s="7">
        <v>230</v>
      </c>
      <c r="B11" s="7">
        <v>375.59</v>
      </c>
      <c r="C11" s="7">
        <v>1.677</v>
      </c>
      <c r="D11" s="7">
        <v>17.100000000000001</v>
      </c>
      <c r="E11" s="7">
        <v>22.7</v>
      </c>
      <c r="F11" s="7">
        <v>16.899999999999999</v>
      </c>
      <c r="G11" s="7">
        <v>16.600000000000001</v>
      </c>
      <c r="H11" s="7">
        <v>24.2</v>
      </c>
    </row>
    <row r="12" spans="1:11" ht="14" thickBot="1">
      <c r="A12" s="7">
        <v>240</v>
      </c>
      <c r="B12" s="7">
        <v>408.96</v>
      </c>
      <c r="C12" s="7">
        <v>1.7509999999999999</v>
      </c>
      <c r="D12" s="7">
        <v>17.3</v>
      </c>
      <c r="E12" s="7">
        <v>23.4</v>
      </c>
      <c r="F12" s="25">
        <v>17.2</v>
      </c>
      <c r="G12" s="7">
        <v>16.7</v>
      </c>
      <c r="H12" s="7">
        <v>25.3</v>
      </c>
    </row>
    <row r="13" spans="1:11" ht="14" thickBot="1">
      <c r="A13" s="7">
        <v>250</v>
      </c>
      <c r="B13" s="7">
        <v>443.75</v>
      </c>
      <c r="C13" s="7">
        <v>1.829</v>
      </c>
      <c r="D13" s="7">
        <v>17.7</v>
      </c>
      <c r="E13" s="7">
        <v>24.3</v>
      </c>
      <c r="F13" s="7">
        <v>17.5</v>
      </c>
      <c r="G13" s="7">
        <v>17.2</v>
      </c>
      <c r="H13" s="7">
        <v>26.1</v>
      </c>
    </row>
    <row r="14" spans="1:11" ht="14" thickBot="1">
      <c r="A14" s="7">
        <v>260</v>
      </c>
      <c r="B14" s="7">
        <v>479.96</v>
      </c>
      <c r="C14" s="7">
        <v>1.899</v>
      </c>
      <c r="D14" s="7">
        <v>17.7</v>
      </c>
      <c r="E14" s="7">
        <v>24.7</v>
      </c>
      <c r="F14" s="7">
        <v>17.5</v>
      </c>
      <c r="G14" s="7">
        <v>17.2</v>
      </c>
      <c r="H14" s="7">
        <v>26.4</v>
      </c>
    </row>
    <row r="15" spans="1:11" ht="14" thickBot="1">
      <c r="A15" s="7">
        <v>270</v>
      </c>
      <c r="B15" s="7">
        <v>517.59</v>
      </c>
      <c r="C15" s="7">
        <v>1.9770000000000001</v>
      </c>
      <c r="D15" s="7">
        <v>17.8</v>
      </c>
      <c r="E15" s="7">
        <v>25.5</v>
      </c>
      <c r="F15" s="7">
        <v>17.7</v>
      </c>
      <c r="G15" s="7">
        <v>17.3</v>
      </c>
      <c r="H15" s="7">
        <v>27.4</v>
      </c>
    </row>
    <row r="16" spans="1:11" ht="14" thickBot="1">
      <c r="A16" s="7">
        <v>280</v>
      </c>
      <c r="B16" s="7">
        <v>556.64</v>
      </c>
      <c r="C16" s="7">
        <v>2.0550000000000002</v>
      </c>
      <c r="D16" s="7">
        <v>18.100000000000001</v>
      </c>
      <c r="E16" s="7">
        <v>26.4</v>
      </c>
      <c r="F16" s="7">
        <v>17.8</v>
      </c>
      <c r="G16" s="7">
        <v>17.3</v>
      </c>
      <c r="H16" s="7">
        <v>28.4</v>
      </c>
    </row>
    <row r="17" spans="1:8" ht="14" thickBot="1">
      <c r="A17" s="7">
        <v>290</v>
      </c>
      <c r="B17" s="7">
        <v>597.11</v>
      </c>
      <c r="C17" s="7">
        <v>2.129</v>
      </c>
      <c r="D17" s="7">
        <v>18.2</v>
      </c>
      <c r="E17" s="7">
        <v>27.3</v>
      </c>
      <c r="F17" s="7">
        <v>18</v>
      </c>
      <c r="G17" s="7">
        <v>17.3</v>
      </c>
      <c r="H17" s="7">
        <v>29.2</v>
      </c>
    </row>
    <row r="18" spans="1:8" ht="14" thickBot="1">
      <c r="A18" s="7">
        <v>300</v>
      </c>
      <c r="B18" s="7">
        <v>639</v>
      </c>
      <c r="C18" s="7">
        <v>2.2069999999999999</v>
      </c>
      <c r="D18" s="7">
        <v>18.3</v>
      </c>
      <c r="E18" s="7">
        <v>28.4</v>
      </c>
      <c r="F18" s="7">
        <v>18.100000000000001</v>
      </c>
      <c r="G18" s="7">
        <v>17.3</v>
      </c>
      <c r="H18" s="7">
        <v>30.5</v>
      </c>
    </row>
    <row r="19" spans="1:8" ht="14" thickBot="1">
      <c r="A19" s="7">
        <v>310</v>
      </c>
      <c r="B19" s="7">
        <v>682.31</v>
      </c>
      <c r="C19" s="7">
        <v>2.2850000000000001</v>
      </c>
      <c r="D19" s="7">
        <v>18.600000000000001</v>
      </c>
      <c r="E19" s="7">
        <v>29.1</v>
      </c>
      <c r="F19" s="7">
        <v>18.399999999999999</v>
      </c>
      <c r="G19" s="7">
        <v>17.399999999999999</v>
      </c>
      <c r="H19" s="7">
        <v>31.2</v>
      </c>
    </row>
    <row r="20" spans="1:8" ht="14" thickBot="1">
      <c r="A20" s="7">
        <v>320</v>
      </c>
      <c r="B20" s="7">
        <v>727.04</v>
      </c>
      <c r="C20" s="7">
        <v>2.359</v>
      </c>
      <c r="D20" s="7">
        <v>18.600000000000001</v>
      </c>
      <c r="E20" s="7">
        <v>29.7</v>
      </c>
      <c r="F20" s="7">
        <v>18.600000000000001</v>
      </c>
      <c r="G20" s="7">
        <v>17.399999999999999</v>
      </c>
      <c r="H20" s="7">
        <v>31.9</v>
      </c>
    </row>
    <row r="21" spans="1:8" ht="14" thickBot="1">
      <c r="A21" s="7">
        <v>330</v>
      </c>
      <c r="B21" s="7">
        <v>773.19</v>
      </c>
      <c r="C21" s="7">
        <v>2.4369999999999998</v>
      </c>
      <c r="D21" s="7">
        <v>18.899999999999999</v>
      </c>
      <c r="E21" s="7">
        <v>30.6</v>
      </c>
      <c r="F21" s="7">
        <v>18.899999999999999</v>
      </c>
      <c r="G21" s="7">
        <v>17.399999999999999</v>
      </c>
      <c r="H21" s="7">
        <v>32.799999999999997</v>
      </c>
    </row>
    <row r="23" spans="1:8">
      <c r="A23" s="9" t="s">
        <v>335</v>
      </c>
      <c r="D23">
        <f>D21-D2</f>
        <v>3.9999999999999982</v>
      </c>
      <c r="E23">
        <f t="shared" ref="E23:H23" si="0">E21-E2</f>
        <v>10.700000000000003</v>
      </c>
      <c r="F23">
        <f t="shared" si="0"/>
        <v>3.8999999999999986</v>
      </c>
      <c r="G23">
        <f t="shared" si="0"/>
        <v>2.7999999999999989</v>
      </c>
      <c r="H23">
        <f t="shared" si="0"/>
        <v>13.099999999999998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703A-298B-4E19-90DD-9668A87EB136}">
  <dimension ref="A1:H16"/>
  <sheetViews>
    <sheetView workbookViewId="0">
      <selection activeCell="E15" sqref="E15"/>
    </sheetView>
  </sheetViews>
  <sheetFormatPr baseColWidth="10" defaultColWidth="8.83203125" defaultRowHeight="13"/>
  <sheetData>
    <row r="1" spans="1:8" ht="15" thickBot="1">
      <c r="A1" s="28" t="s">
        <v>23</v>
      </c>
      <c r="B1" s="8" t="s">
        <v>103</v>
      </c>
      <c r="C1" s="28" t="s">
        <v>102</v>
      </c>
      <c r="D1" s="28" t="s">
        <v>332</v>
      </c>
      <c r="E1" s="28" t="s">
        <v>336</v>
      </c>
      <c r="F1" s="28" t="s">
        <v>330</v>
      </c>
      <c r="G1" s="28" t="s">
        <v>247</v>
      </c>
      <c r="H1" s="28" t="s">
        <v>106</v>
      </c>
    </row>
    <row r="2" spans="1:8" ht="14" thickBot="1">
      <c r="A2" s="29">
        <v>0</v>
      </c>
      <c r="B2" s="30">
        <v>0</v>
      </c>
      <c r="C2" s="31">
        <v>0</v>
      </c>
      <c r="D2" s="31">
        <v>21.3</v>
      </c>
      <c r="E2" s="31">
        <v>16.2</v>
      </c>
      <c r="F2" s="31">
        <v>16.2</v>
      </c>
      <c r="G2" s="31">
        <v>15.8</v>
      </c>
      <c r="H2" s="31">
        <v>21.5</v>
      </c>
    </row>
    <row r="3" spans="1:8" ht="14" thickBot="1">
      <c r="A3" s="29">
        <v>49.99</v>
      </c>
      <c r="B3" s="30">
        <v>19.9920008</v>
      </c>
      <c r="C3" s="31">
        <v>0.38800000000000001</v>
      </c>
      <c r="D3" s="31">
        <v>21.2</v>
      </c>
      <c r="E3" s="31">
        <v>17</v>
      </c>
      <c r="F3" s="31">
        <v>16.899999999999999</v>
      </c>
      <c r="G3" s="31">
        <v>16.3</v>
      </c>
      <c r="H3" s="31">
        <v>21.2</v>
      </c>
    </row>
    <row r="4" spans="1:8" ht="14" thickBot="1">
      <c r="A4" s="29">
        <v>75</v>
      </c>
      <c r="B4" s="30">
        <v>45</v>
      </c>
      <c r="C4" s="31">
        <v>0.57899999999999996</v>
      </c>
      <c r="D4" s="31">
        <v>21.3</v>
      </c>
      <c r="E4" s="31">
        <v>17.100000000000001</v>
      </c>
      <c r="F4" s="31">
        <v>17</v>
      </c>
      <c r="G4" s="31">
        <v>17.100000000000001</v>
      </c>
      <c r="H4" s="31">
        <v>21.3</v>
      </c>
    </row>
    <row r="5" spans="1:8" ht="14" thickBot="1">
      <c r="A5" s="29">
        <v>100.01</v>
      </c>
      <c r="B5" s="30">
        <v>80.0160008</v>
      </c>
      <c r="C5" s="31">
        <v>0.77400000000000002</v>
      </c>
      <c r="D5" s="31">
        <v>22.3</v>
      </c>
      <c r="E5" s="31">
        <v>17.5</v>
      </c>
      <c r="F5" s="31">
        <v>17.600000000000001</v>
      </c>
      <c r="G5" s="31">
        <v>18.3</v>
      </c>
      <c r="H5" s="31">
        <v>22.1</v>
      </c>
    </row>
    <row r="6" spans="1:8" ht="14" thickBot="1">
      <c r="A6" s="29">
        <v>110.11</v>
      </c>
      <c r="B6" s="30">
        <v>96.993696799999995</v>
      </c>
      <c r="C6" s="31">
        <v>0.85299999999999998</v>
      </c>
      <c r="D6" s="31">
        <v>23.3</v>
      </c>
      <c r="E6" s="31">
        <v>17.8</v>
      </c>
      <c r="F6" s="31">
        <v>18</v>
      </c>
      <c r="G6" s="31">
        <v>19</v>
      </c>
      <c r="H6" s="31">
        <v>23</v>
      </c>
    </row>
    <row r="7" spans="1:8" ht="14" thickBot="1">
      <c r="A7" s="29">
        <v>119.97</v>
      </c>
      <c r="B7" s="30">
        <v>115.14240719999999</v>
      </c>
      <c r="C7" s="31">
        <v>0.93500000000000005</v>
      </c>
      <c r="D7" s="31">
        <v>23.8</v>
      </c>
      <c r="E7" s="31">
        <v>17.899999999999999</v>
      </c>
      <c r="F7" s="31">
        <v>18.100000000000001</v>
      </c>
      <c r="G7" s="31">
        <v>19.600000000000001</v>
      </c>
      <c r="H7" s="31">
        <v>23.4</v>
      </c>
    </row>
    <row r="8" spans="1:8" ht="14" thickBot="1">
      <c r="A8" s="29">
        <v>129.94999999999999</v>
      </c>
      <c r="B8" s="30">
        <v>135.09602000000001</v>
      </c>
      <c r="C8" s="31">
        <v>1.0089999999999999</v>
      </c>
      <c r="D8" s="31">
        <v>24.3</v>
      </c>
      <c r="E8" s="31">
        <v>17.7</v>
      </c>
      <c r="F8" s="31">
        <v>18.2</v>
      </c>
      <c r="G8" s="31">
        <v>20.2</v>
      </c>
      <c r="H8" s="31">
        <v>23.9</v>
      </c>
    </row>
    <row r="9" spans="1:8" ht="14" thickBot="1">
      <c r="A9" s="29">
        <v>139.96</v>
      </c>
      <c r="B9" s="30">
        <v>156.7104128</v>
      </c>
      <c r="C9" s="31">
        <v>1.083</v>
      </c>
      <c r="D9" s="31">
        <v>25.1</v>
      </c>
      <c r="E9" s="31">
        <v>18.3</v>
      </c>
      <c r="F9" s="31">
        <v>18.600000000000001</v>
      </c>
      <c r="G9" s="31">
        <v>21</v>
      </c>
      <c r="H9" s="31">
        <v>24.4</v>
      </c>
    </row>
    <row r="10" spans="1:8" ht="14" thickBot="1">
      <c r="A10" s="29">
        <v>150.03</v>
      </c>
      <c r="B10" s="30">
        <v>180.0720072</v>
      </c>
      <c r="C10" s="31">
        <v>1.179</v>
      </c>
      <c r="D10" s="31">
        <v>26.5</v>
      </c>
      <c r="E10" s="31">
        <v>18.600000000000001</v>
      </c>
      <c r="F10" s="31">
        <v>18.899999999999999</v>
      </c>
      <c r="G10" s="31">
        <v>22</v>
      </c>
      <c r="H10" s="31">
        <v>25.6</v>
      </c>
    </row>
    <row r="11" spans="1:8" ht="14" thickBot="1">
      <c r="A11" s="29">
        <v>160</v>
      </c>
      <c r="B11" s="30">
        <v>204.8</v>
      </c>
      <c r="C11" s="31">
        <v>1.252</v>
      </c>
      <c r="D11" s="31">
        <v>27.1</v>
      </c>
      <c r="E11" s="31">
        <v>18.600000000000001</v>
      </c>
      <c r="F11" s="31">
        <v>19.2</v>
      </c>
      <c r="G11" s="31">
        <v>22.7</v>
      </c>
      <c r="H11" s="31">
        <v>26.2</v>
      </c>
    </row>
    <row r="12" spans="1:8" ht="14" thickBot="1">
      <c r="A12" s="29">
        <v>169.98</v>
      </c>
      <c r="B12" s="30">
        <v>231.14560320000001</v>
      </c>
      <c r="C12" s="31">
        <v>1.3340000000000001</v>
      </c>
      <c r="D12" s="31">
        <v>27.8</v>
      </c>
      <c r="E12" s="31">
        <v>18.7</v>
      </c>
      <c r="F12" s="31">
        <v>19.5</v>
      </c>
      <c r="G12" s="31">
        <v>23.7</v>
      </c>
      <c r="H12" s="31">
        <v>26.7</v>
      </c>
    </row>
    <row r="13" spans="1:8" ht="14" thickBot="1">
      <c r="A13" s="29">
        <v>179.96</v>
      </c>
      <c r="B13" s="30">
        <v>259.08481280000001</v>
      </c>
      <c r="C13" s="31">
        <v>1.417</v>
      </c>
      <c r="D13" s="31">
        <v>28.8</v>
      </c>
      <c r="E13" s="31">
        <v>19.2</v>
      </c>
      <c r="F13" s="31">
        <v>20</v>
      </c>
      <c r="G13" s="31">
        <v>24.7</v>
      </c>
      <c r="H13" s="31">
        <v>27.8</v>
      </c>
    </row>
    <row r="14" spans="1:8" ht="14" thickBot="1">
      <c r="A14" s="29">
        <v>190.06</v>
      </c>
      <c r="B14" s="30">
        <v>288.98242879999998</v>
      </c>
      <c r="C14" s="31">
        <v>1.4990000000000001</v>
      </c>
      <c r="D14" s="31">
        <v>30.3</v>
      </c>
      <c r="E14" s="31">
        <v>19.7</v>
      </c>
      <c r="F14" s="31">
        <v>20.399999999999999</v>
      </c>
      <c r="G14" s="31">
        <v>25.8</v>
      </c>
      <c r="H14" s="31">
        <v>29.1</v>
      </c>
    </row>
    <row r="15" spans="1:8" ht="14" thickBot="1">
      <c r="A15" s="29">
        <v>200.04</v>
      </c>
      <c r="B15" s="30">
        <v>320.12801280000002</v>
      </c>
      <c r="C15" s="31">
        <v>1.5820000000000001</v>
      </c>
      <c r="D15" s="31">
        <v>31.4</v>
      </c>
      <c r="E15" s="31">
        <v>19.5</v>
      </c>
      <c r="F15" s="31">
        <v>20.7</v>
      </c>
      <c r="G15" s="31">
        <v>26.7</v>
      </c>
      <c r="H15" s="31">
        <v>30.1</v>
      </c>
    </row>
    <row r="16" spans="1:8" ht="57" thickBot="1">
      <c r="A16" s="8" t="s">
        <v>337</v>
      </c>
      <c r="B16" s="8"/>
      <c r="C16" s="8"/>
      <c r="D16" s="7">
        <v>10.1</v>
      </c>
      <c r="E16" s="7">
        <v>3.3</v>
      </c>
      <c r="F16" s="7">
        <v>4.5</v>
      </c>
      <c r="G16" s="7">
        <v>10.9</v>
      </c>
      <c r="H16" s="7">
        <v>8.6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6FE6-D181-44D9-AB13-F2BB688FD0B7}">
  <dimension ref="A1:N35"/>
  <sheetViews>
    <sheetView topLeftCell="A8" workbookViewId="0">
      <selection activeCell="D33" sqref="D33"/>
    </sheetView>
  </sheetViews>
  <sheetFormatPr baseColWidth="10" defaultColWidth="8.83203125" defaultRowHeight="13"/>
  <sheetData>
    <row r="1" spans="1:14" ht="43" thickBot="1">
      <c r="A1" s="8" t="s">
        <v>23</v>
      </c>
      <c r="B1" s="8" t="s">
        <v>103</v>
      </c>
      <c r="C1" s="9" t="s">
        <v>102</v>
      </c>
      <c r="D1" s="8" t="s">
        <v>338</v>
      </c>
      <c r="E1" s="8" t="s">
        <v>339</v>
      </c>
      <c r="F1" s="8" t="s">
        <v>340</v>
      </c>
      <c r="G1" s="8" t="s">
        <v>331</v>
      </c>
      <c r="H1" s="8" t="s">
        <v>201</v>
      </c>
      <c r="I1" s="18" t="s">
        <v>341</v>
      </c>
    </row>
    <row r="2" spans="1:14" ht="14" thickBot="1">
      <c r="A2" s="9" t="s">
        <v>248</v>
      </c>
    </row>
    <row r="3" spans="1:14" ht="14" thickBot="1">
      <c r="A3">
        <v>0</v>
      </c>
      <c r="B3">
        <v>0</v>
      </c>
      <c r="D3" s="7">
        <v>21.2</v>
      </c>
      <c r="E3" s="7">
        <v>21</v>
      </c>
      <c r="F3" s="7">
        <v>21</v>
      </c>
      <c r="G3" s="7">
        <v>22.2</v>
      </c>
      <c r="H3" s="7">
        <v>21.1</v>
      </c>
      <c r="I3" s="7">
        <v>21.4</v>
      </c>
      <c r="K3" s="9" t="s">
        <v>342</v>
      </c>
      <c r="N3" s="9" t="s">
        <v>334</v>
      </c>
    </row>
    <row r="4" spans="1:14" ht="71" thickBot="1">
      <c r="A4" s="7">
        <v>0</v>
      </c>
      <c r="B4" s="7">
        <v>0</v>
      </c>
      <c r="C4" s="7">
        <v>0</v>
      </c>
      <c r="D4" s="7">
        <v>15.1</v>
      </c>
      <c r="E4" s="7">
        <v>19.399999999999999</v>
      </c>
      <c r="F4" s="7">
        <v>14.6</v>
      </c>
      <c r="G4" s="7">
        <v>14.7</v>
      </c>
      <c r="H4" s="7">
        <v>18.7</v>
      </c>
      <c r="K4" s="9" t="s">
        <v>343</v>
      </c>
      <c r="M4" s="26" t="s">
        <v>333</v>
      </c>
    </row>
    <row r="5" spans="1:14" ht="14" thickBot="1">
      <c r="A5" s="7">
        <v>100</v>
      </c>
      <c r="B5" s="7">
        <v>71</v>
      </c>
      <c r="C5" s="7">
        <v>0.72199999999999998</v>
      </c>
      <c r="D5" s="27">
        <v>15.2</v>
      </c>
      <c r="E5" s="7">
        <v>20</v>
      </c>
      <c r="F5" s="7">
        <v>15.2</v>
      </c>
      <c r="G5" s="7">
        <v>14.8</v>
      </c>
      <c r="H5" s="7">
        <v>19.2</v>
      </c>
    </row>
    <row r="6" spans="1:14" ht="14" thickBot="1">
      <c r="A6" s="7">
        <v>135</v>
      </c>
      <c r="B6" s="7">
        <v>129.39750000000001</v>
      </c>
      <c r="C6" s="7">
        <v>0.97399999999999998</v>
      </c>
      <c r="D6" s="7">
        <v>15.5</v>
      </c>
      <c r="E6" s="7">
        <v>20.100000000000001</v>
      </c>
      <c r="F6" s="7">
        <v>15.7</v>
      </c>
      <c r="G6" s="7">
        <v>15</v>
      </c>
      <c r="H6" s="7">
        <v>19.899999999999999</v>
      </c>
    </row>
    <row r="7" spans="1:14" ht="15" thickBot="1">
      <c r="A7" s="7">
        <v>160</v>
      </c>
      <c r="B7" s="7">
        <v>181.76</v>
      </c>
      <c r="C7" s="7">
        <v>1.161</v>
      </c>
      <c r="D7" s="7">
        <v>15.9</v>
      </c>
      <c r="E7" s="7">
        <v>20.3</v>
      </c>
      <c r="F7" s="7">
        <v>15.9</v>
      </c>
      <c r="G7" s="7">
        <v>15</v>
      </c>
      <c r="H7" s="8" t="s">
        <v>344</v>
      </c>
    </row>
    <row r="8" spans="1:14" ht="14" thickBot="1">
      <c r="A8" s="7">
        <v>175</v>
      </c>
      <c r="B8" s="7">
        <v>217.4375</v>
      </c>
      <c r="C8" s="8"/>
      <c r="D8" s="8"/>
      <c r="E8" s="8"/>
      <c r="F8" s="8"/>
      <c r="G8" s="8"/>
      <c r="H8" s="8"/>
    </row>
    <row r="9" spans="1:14" ht="14" thickBot="1">
      <c r="A9" s="7">
        <v>190</v>
      </c>
      <c r="B9" s="24">
        <v>256.31</v>
      </c>
      <c r="C9" s="8"/>
      <c r="D9" s="8"/>
      <c r="E9" s="8"/>
      <c r="F9" s="8"/>
      <c r="G9" s="8"/>
      <c r="H9" s="8"/>
    </row>
    <row r="10" spans="1:14" ht="14" thickBot="1">
      <c r="A10" s="7">
        <v>200</v>
      </c>
      <c r="B10" s="7">
        <v>284</v>
      </c>
      <c r="C10" s="8"/>
      <c r="D10" s="7">
        <v>16.7</v>
      </c>
      <c r="E10" s="7">
        <v>20.9</v>
      </c>
      <c r="F10" s="7">
        <v>16</v>
      </c>
      <c r="G10" s="7">
        <v>15.5</v>
      </c>
      <c r="H10" s="7">
        <v>21.9</v>
      </c>
    </row>
    <row r="12" spans="1:14">
      <c r="A12" s="9" t="s">
        <v>345</v>
      </c>
    </row>
    <row r="13" spans="1:14" ht="14" thickBot="1"/>
    <row r="14" spans="1:14" ht="14" thickBot="1">
      <c r="A14" s="7">
        <v>0</v>
      </c>
      <c r="B14" s="7">
        <v>0</v>
      </c>
      <c r="C14" s="7">
        <v>0</v>
      </c>
      <c r="D14" s="7">
        <v>14.9</v>
      </c>
      <c r="E14" s="7">
        <v>19.899999999999999</v>
      </c>
      <c r="F14" s="7">
        <v>15</v>
      </c>
      <c r="G14" s="7">
        <v>14.6</v>
      </c>
      <c r="H14" s="7">
        <v>19.7</v>
      </c>
    </row>
    <row r="15" spans="1:14" ht="14" thickBot="1">
      <c r="A15" s="7">
        <v>100</v>
      </c>
      <c r="B15" s="7">
        <v>71</v>
      </c>
      <c r="C15" s="7">
        <v>0.72199999999999998</v>
      </c>
      <c r="D15" s="7">
        <v>15.1</v>
      </c>
      <c r="E15" s="7">
        <v>20</v>
      </c>
      <c r="F15" s="7">
        <v>15.3</v>
      </c>
      <c r="G15" s="7">
        <v>15.1</v>
      </c>
      <c r="H15" s="7">
        <v>19.8</v>
      </c>
    </row>
    <row r="16" spans="1:14" ht="14" thickBot="1">
      <c r="A16" s="7">
        <v>135</v>
      </c>
      <c r="B16" s="7">
        <v>129.39750000000001</v>
      </c>
      <c r="C16" s="7">
        <v>0.97399999999999998</v>
      </c>
      <c r="D16" s="7">
        <v>15.2</v>
      </c>
      <c r="E16" s="7">
        <v>20.2</v>
      </c>
      <c r="F16" s="7">
        <v>15.9</v>
      </c>
      <c r="G16" s="7">
        <v>15</v>
      </c>
      <c r="H16" s="7">
        <v>19.7</v>
      </c>
    </row>
    <row r="17" spans="1:8" ht="14" thickBot="1">
      <c r="A17" s="7">
        <v>160</v>
      </c>
      <c r="B17" s="7">
        <v>181.76</v>
      </c>
      <c r="C17" s="7">
        <v>1.161</v>
      </c>
      <c r="D17" s="7">
        <v>15.7</v>
      </c>
      <c r="E17" s="7">
        <v>20.6</v>
      </c>
      <c r="F17" s="7">
        <v>16.100000000000001</v>
      </c>
      <c r="G17" s="7">
        <v>15.1</v>
      </c>
      <c r="H17" s="7">
        <v>20.6</v>
      </c>
    </row>
    <row r="18" spans="1:8" ht="14" thickBot="1">
      <c r="A18" s="7">
        <v>175</v>
      </c>
      <c r="B18" s="7">
        <v>217.4375</v>
      </c>
      <c r="C18" s="7">
        <v>1.2689999999999999</v>
      </c>
      <c r="D18" s="7">
        <v>16.399999999999999</v>
      </c>
      <c r="E18" s="7">
        <v>20.6</v>
      </c>
      <c r="F18" s="7">
        <v>16.100000000000001</v>
      </c>
      <c r="G18" s="7">
        <v>15.4</v>
      </c>
      <c r="H18" s="7">
        <v>21.3</v>
      </c>
    </row>
    <row r="19" spans="1:8" ht="14" thickBot="1">
      <c r="A19" s="7">
        <v>190</v>
      </c>
      <c r="B19" s="24">
        <v>256.31</v>
      </c>
      <c r="C19" s="7">
        <v>1.3819999999999999</v>
      </c>
      <c r="D19" s="7">
        <v>16.5</v>
      </c>
      <c r="E19" s="7">
        <v>21.2</v>
      </c>
      <c r="F19" s="7">
        <v>16.3</v>
      </c>
      <c r="G19" s="7">
        <v>15.4</v>
      </c>
      <c r="H19" s="7">
        <v>22.1</v>
      </c>
    </row>
    <row r="20" spans="1:8" ht="14" thickBot="1">
      <c r="A20" s="7">
        <v>200</v>
      </c>
      <c r="B20" s="7">
        <v>284</v>
      </c>
      <c r="C20" s="7">
        <v>1.456</v>
      </c>
      <c r="D20" s="7">
        <v>16.7</v>
      </c>
      <c r="E20" s="7">
        <v>21.3</v>
      </c>
      <c r="F20" s="7">
        <v>16.399999999999999</v>
      </c>
      <c r="G20" s="7">
        <v>15.8</v>
      </c>
      <c r="H20" s="7">
        <v>22.9</v>
      </c>
    </row>
    <row r="21" spans="1:8" ht="14" thickBot="1">
      <c r="A21" s="7">
        <v>210</v>
      </c>
      <c r="B21" s="24">
        <v>313.11</v>
      </c>
      <c r="C21" s="7">
        <v>1.53</v>
      </c>
      <c r="D21" s="7">
        <v>16.7</v>
      </c>
      <c r="E21" s="7">
        <v>21.6</v>
      </c>
      <c r="F21" s="7">
        <v>16.5</v>
      </c>
      <c r="G21" s="7">
        <v>16.600000000000001</v>
      </c>
      <c r="H21" s="7">
        <v>23.3</v>
      </c>
    </row>
    <row r="22" spans="1:8" ht="14" thickBot="1">
      <c r="A22" s="7">
        <v>220</v>
      </c>
      <c r="B22" s="7">
        <v>343.64</v>
      </c>
      <c r="C22" s="7">
        <v>1.6040000000000001</v>
      </c>
      <c r="D22" s="7">
        <v>16.8</v>
      </c>
      <c r="E22" s="7">
        <v>22.1</v>
      </c>
      <c r="F22" s="7">
        <v>16.7</v>
      </c>
      <c r="G22" s="7">
        <v>16.600000000000001</v>
      </c>
      <c r="H22" s="7">
        <v>23.6</v>
      </c>
    </row>
    <row r="23" spans="1:8" ht="14" thickBot="1">
      <c r="A23" s="7">
        <v>230</v>
      </c>
      <c r="B23" s="7">
        <v>375.59</v>
      </c>
      <c r="C23" s="7">
        <v>1.677</v>
      </c>
      <c r="D23" s="7">
        <v>17.100000000000001</v>
      </c>
      <c r="E23" s="7">
        <v>22.7</v>
      </c>
      <c r="F23" s="7">
        <v>16.899999999999999</v>
      </c>
      <c r="G23" s="7">
        <v>16.600000000000001</v>
      </c>
      <c r="H23" s="7">
        <v>24.2</v>
      </c>
    </row>
    <row r="24" spans="1:8" ht="14" thickBot="1">
      <c r="A24" s="7">
        <v>240</v>
      </c>
      <c r="B24" s="7">
        <v>408.96</v>
      </c>
      <c r="C24" s="7">
        <v>1.7509999999999999</v>
      </c>
      <c r="D24" s="7">
        <v>17.3</v>
      </c>
      <c r="E24" s="7">
        <v>23.4</v>
      </c>
      <c r="F24" s="27">
        <v>17.2</v>
      </c>
      <c r="G24" s="7">
        <v>16.7</v>
      </c>
      <c r="H24" s="7">
        <v>25.3</v>
      </c>
    </row>
    <row r="25" spans="1:8" ht="14" thickBot="1">
      <c r="A25" s="7">
        <v>250</v>
      </c>
      <c r="B25" s="7">
        <v>443.75</v>
      </c>
      <c r="C25" s="7">
        <v>1.829</v>
      </c>
      <c r="D25" s="7">
        <v>17.7</v>
      </c>
      <c r="E25" s="7">
        <v>24.3</v>
      </c>
      <c r="F25" s="7">
        <v>17.5</v>
      </c>
      <c r="G25" s="7">
        <v>17.2</v>
      </c>
      <c r="H25" s="7">
        <v>26.1</v>
      </c>
    </row>
    <row r="26" spans="1:8" ht="14" thickBot="1">
      <c r="A26" s="7">
        <v>260</v>
      </c>
      <c r="B26" s="7">
        <v>479.96</v>
      </c>
      <c r="C26" s="7">
        <v>1.899</v>
      </c>
      <c r="D26" s="7">
        <v>17.7</v>
      </c>
      <c r="E26" s="7">
        <v>24.7</v>
      </c>
      <c r="F26" s="7">
        <v>17.5</v>
      </c>
      <c r="G26" s="7">
        <v>17.2</v>
      </c>
      <c r="H26" s="7">
        <v>26.4</v>
      </c>
    </row>
    <row r="27" spans="1:8" ht="14" thickBot="1">
      <c r="A27" s="7">
        <v>270</v>
      </c>
      <c r="B27" s="7">
        <v>517.59</v>
      </c>
      <c r="C27" s="7">
        <v>1.9770000000000001</v>
      </c>
      <c r="D27" s="7">
        <v>17.8</v>
      </c>
      <c r="E27" s="7">
        <v>25.5</v>
      </c>
      <c r="F27" s="7">
        <v>17.7</v>
      </c>
      <c r="G27" s="7">
        <v>17.3</v>
      </c>
      <c r="H27" s="7">
        <v>27.4</v>
      </c>
    </row>
    <row r="28" spans="1:8" ht="14" thickBot="1">
      <c r="A28" s="7">
        <v>280</v>
      </c>
      <c r="B28" s="7">
        <v>556.64</v>
      </c>
      <c r="C28" s="7">
        <v>2.0550000000000002</v>
      </c>
      <c r="D28" s="7">
        <v>18.100000000000001</v>
      </c>
      <c r="E28" s="7">
        <v>26.4</v>
      </c>
      <c r="F28" s="7">
        <v>17.8</v>
      </c>
      <c r="G28" s="7">
        <v>17.3</v>
      </c>
      <c r="H28" s="7">
        <v>28.4</v>
      </c>
    </row>
    <row r="29" spans="1:8" ht="14" thickBot="1">
      <c r="A29" s="7">
        <v>290</v>
      </c>
      <c r="B29" s="7">
        <v>597.11</v>
      </c>
      <c r="C29" s="7">
        <v>2.129</v>
      </c>
      <c r="D29" s="7">
        <v>18.2</v>
      </c>
      <c r="E29" s="7">
        <v>27.3</v>
      </c>
      <c r="F29" s="7">
        <v>18</v>
      </c>
      <c r="G29" s="7">
        <v>17.3</v>
      </c>
      <c r="H29" s="7">
        <v>29.2</v>
      </c>
    </row>
    <row r="30" spans="1:8" ht="14" thickBot="1">
      <c r="A30" s="7">
        <v>300</v>
      </c>
      <c r="B30" s="7">
        <v>639</v>
      </c>
      <c r="C30" s="7">
        <v>2.2069999999999999</v>
      </c>
      <c r="D30" s="7">
        <v>18.3</v>
      </c>
      <c r="E30" s="7">
        <v>28.4</v>
      </c>
      <c r="F30" s="7">
        <v>18.100000000000001</v>
      </c>
      <c r="G30" s="7">
        <v>17.3</v>
      </c>
      <c r="H30" s="7">
        <v>30.5</v>
      </c>
    </row>
    <row r="31" spans="1:8" ht="14" thickBot="1">
      <c r="A31" s="7">
        <v>310</v>
      </c>
      <c r="B31" s="7">
        <v>682.31</v>
      </c>
      <c r="C31" s="7">
        <v>2.2850000000000001</v>
      </c>
      <c r="D31" s="7">
        <v>18.600000000000001</v>
      </c>
      <c r="E31" s="7">
        <v>29.1</v>
      </c>
      <c r="F31" s="7">
        <v>18.399999999999999</v>
      </c>
      <c r="G31" s="7">
        <v>17.399999999999999</v>
      </c>
      <c r="H31" s="7">
        <v>31.2</v>
      </c>
    </row>
    <row r="32" spans="1:8" ht="14" thickBot="1">
      <c r="A32" s="7">
        <v>320</v>
      </c>
      <c r="B32" s="7">
        <v>727.04</v>
      </c>
      <c r="C32" s="7">
        <v>2.359</v>
      </c>
      <c r="D32" s="7">
        <v>18.600000000000001</v>
      </c>
      <c r="E32" s="7">
        <v>29.7</v>
      </c>
      <c r="F32" s="7">
        <v>18.600000000000001</v>
      </c>
      <c r="G32" s="7">
        <v>17.399999999999999</v>
      </c>
      <c r="H32" s="7">
        <v>31.9</v>
      </c>
    </row>
    <row r="33" spans="1:8" ht="14" thickBot="1">
      <c r="A33" s="7">
        <v>330</v>
      </c>
      <c r="B33" s="7">
        <v>773.19</v>
      </c>
      <c r="C33" s="7">
        <v>2.4369999999999998</v>
      </c>
      <c r="D33" s="7">
        <v>18.899999999999999</v>
      </c>
      <c r="E33" s="7">
        <v>30.6</v>
      </c>
      <c r="F33" s="7">
        <v>18.899999999999999</v>
      </c>
      <c r="G33" s="7">
        <v>17.399999999999999</v>
      </c>
      <c r="H33" s="7">
        <v>32.799999999999997</v>
      </c>
    </row>
    <row r="35" spans="1:8">
      <c r="A35" s="9" t="s">
        <v>335</v>
      </c>
      <c r="D35">
        <f>D33-D14</f>
        <v>3.9999999999999982</v>
      </c>
      <c r="E35">
        <f t="shared" ref="E35:H35" si="0">E33-E14</f>
        <v>10.700000000000003</v>
      </c>
      <c r="F35">
        <f t="shared" si="0"/>
        <v>3.8999999999999986</v>
      </c>
      <c r="G35">
        <f t="shared" si="0"/>
        <v>2.7999999999999989</v>
      </c>
      <c r="H35">
        <f t="shared" si="0"/>
        <v>13.099999999999998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8E71-7B2D-4C03-975A-B92B6334E12D}">
  <dimension ref="A1:L13"/>
  <sheetViews>
    <sheetView workbookViewId="0">
      <selection activeCell="F10" sqref="F10"/>
    </sheetView>
  </sheetViews>
  <sheetFormatPr baseColWidth="10" defaultColWidth="8.83203125" defaultRowHeight="13"/>
  <sheetData>
    <row r="1" spans="1:12" ht="43" thickBot="1">
      <c r="A1" s="8" t="s">
        <v>23</v>
      </c>
      <c r="B1" s="8" t="s">
        <v>338</v>
      </c>
      <c r="C1" s="8" t="s">
        <v>339</v>
      </c>
      <c r="D1" s="8" t="s">
        <v>340</v>
      </c>
      <c r="E1" s="8" t="s">
        <v>331</v>
      </c>
      <c r="F1" s="8" t="s">
        <v>201</v>
      </c>
      <c r="G1" s="18" t="s">
        <v>341</v>
      </c>
    </row>
    <row r="2" spans="1:12" ht="14" thickBot="1">
      <c r="A2" s="7">
        <v>0</v>
      </c>
      <c r="B2" s="7">
        <v>20.7</v>
      </c>
      <c r="C2" s="7">
        <v>16.2</v>
      </c>
      <c r="D2" s="7">
        <v>16.2</v>
      </c>
      <c r="E2" s="7">
        <v>15.6</v>
      </c>
      <c r="F2" s="7">
        <v>21</v>
      </c>
      <c r="G2" s="7">
        <v>22</v>
      </c>
      <c r="J2" s="9"/>
      <c r="K2" s="9" t="s">
        <v>334</v>
      </c>
    </row>
    <row r="3" spans="1:12" ht="71" thickBot="1">
      <c r="A3" s="7">
        <v>49.99</v>
      </c>
      <c r="B3" s="7">
        <v>20.8</v>
      </c>
      <c r="C3" s="7">
        <v>16.5</v>
      </c>
      <c r="D3" s="7">
        <v>16.399999999999999</v>
      </c>
      <c r="E3" s="7">
        <v>15.7</v>
      </c>
      <c r="F3" s="7">
        <v>21.2</v>
      </c>
      <c r="G3" s="7">
        <v>22.2</v>
      </c>
      <c r="J3" s="9"/>
      <c r="L3" s="26" t="s">
        <v>333</v>
      </c>
    </row>
    <row r="4" spans="1:12" ht="14" thickBot="1">
      <c r="A4" s="7">
        <v>100.01</v>
      </c>
      <c r="B4" s="7">
        <v>21</v>
      </c>
      <c r="C4" s="7">
        <v>17.2</v>
      </c>
      <c r="D4" s="7">
        <v>17.3</v>
      </c>
      <c r="E4" s="7">
        <v>17.600000000000001</v>
      </c>
      <c r="F4" s="7">
        <v>21.6</v>
      </c>
      <c r="G4" s="7">
        <v>22.6</v>
      </c>
    </row>
    <row r="5" spans="1:12" ht="14" thickBot="1">
      <c r="A5" s="7">
        <v>115.04</v>
      </c>
      <c r="B5" s="7">
        <v>21.4</v>
      </c>
      <c r="C5" s="7">
        <v>17.5</v>
      </c>
      <c r="D5" s="7">
        <v>17.5</v>
      </c>
      <c r="E5" s="7">
        <v>18.8</v>
      </c>
      <c r="F5" s="7">
        <v>21.9</v>
      </c>
      <c r="G5" s="7">
        <v>23.1</v>
      </c>
    </row>
    <row r="6" spans="1:12" ht="14" thickBot="1">
      <c r="A6" s="7">
        <v>130.07</v>
      </c>
      <c r="B6" s="7">
        <v>21.9</v>
      </c>
      <c r="C6" s="7">
        <v>17.7</v>
      </c>
      <c r="D6" s="7">
        <v>18.3</v>
      </c>
      <c r="E6" s="7">
        <v>19.7</v>
      </c>
      <c r="F6" s="7">
        <v>22.2</v>
      </c>
      <c r="G6" s="7">
        <v>23.1</v>
      </c>
    </row>
    <row r="7" spans="1:12" ht="14" thickBot="1">
      <c r="A7" s="7">
        <v>145.1</v>
      </c>
      <c r="B7" s="7">
        <v>22.1</v>
      </c>
      <c r="C7" s="7">
        <v>17.899999999999999</v>
      </c>
      <c r="D7" s="7">
        <v>18.7</v>
      </c>
      <c r="E7" s="7">
        <v>20.7</v>
      </c>
      <c r="F7" s="7">
        <v>22.5</v>
      </c>
      <c r="G7" s="7">
        <v>23.2</v>
      </c>
    </row>
    <row r="8" spans="1:12" ht="14" thickBot="1">
      <c r="A8" s="7">
        <v>160</v>
      </c>
      <c r="B8" s="7">
        <v>23.3</v>
      </c>
      <c r="C8" s="7">
        <v>18.3</v>
      </c>
      <c r="D8" s="7">
        <v>19.100000000000001</v>
      </c>
      <c r="E8" s="7">
        <v>22.3</v>
      </c>
      <c r="F8" s="7">
        <v>23.6</v>
      </c>
      <c r="G8" s="7">
        <v>24.4</v>
      </c>
    </row>
    <row r="9" spans="1:12" ht="14" thickBot="1">
      <c r="A9" s="7">
        <v>175.03</v>
      </c>
      <c r="B9" s="7">
        <v>24.3</v>
      </c>
      <c r="C9" s="7">
        <v>18.7</v>
      </c>
      <c r="D9" s="7">
        <v>19.8</v>
      </c>
      <c r="E9" s="7">
        <v>23.7</v>
      </c>
      <c r="F9" s="7">
        <v>24.4</v>
      </c>
      <c r="G9" s="7">
        <v>25.1</v>
      </c>
    </row>
    <row r="10" spans="1:12" ht="14" thickBot="1">
      <c r="A10" s="7">
        <v>190.06</v>
      </c>
      <c r="B10" s="7">
        <v>25</v>
      </c>
      <c r="C10" s="7">
        <v>19.3</v>
      </c>
      <c r="D10" s="7">
        <v>20.5</v>
      </c>
      <c r="E10" s="7">
        <v>25.2</v>
      </c>
      <c r="F10" s="7">
        <v>25.2</v>
      </c>
      <c r="G10" s="7">
        <v>25.9</v>
      </c>
    </row>
    <row r="11" spans="1:12" ht="14" thickBot="1">
      <c r="A11" s="7">
        <v>200.04</v>
      </c>
      <c r="B11" s="7">
        <v>26</v>
      </c>
      <c r="C11" s="7">
        <v>19.600000000000001</v>
      </c>
      <c r="D11" s="7">
        <v>21</v>
      </c>
      <c r="E11" s="7">
        <v>26.5</v>
      </c>
      <c r="F11" s="7">
        <v>26.2</v>
      </c>
      <c r="G11" s="7">
        <v>26.8</v>
      </c>
    </row>
    <row r="13" spans="1:12">
      <c r="A13" s="9" t="s">
        <v>346</v>
      </c>
      <c r="B13">
        <f>B11-B2</f>
        <v>5.3000000000000007</v>
      </c>
      <c r="C13">
        <f t="shared" ref="C13:G13" si="0">C11-C2</f>
        <v>3.4000000000000021</v>
      </c>
      <c r="D13">
        <f t="shared" si="0"/>
        <v>4.8000000000000007</v>
      </c>
      <c r="E13">
        <f t="shared" si="0"/>
        <v>10.9</v>
      </c>
      <c r="F13">
        <f t="shared" si="0"/>
        <v>5.1999999999999993</v>
      </c>
      <c r="G13">
        <f t="shared" si="0"/>
        <v>4.8000000000000007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827D-2A09-408C-B41E-40473CBA1F1E}">
  <dimension ref="A1:G15"/>
  <sheetViews>
    <sheetView workbookViewId="0">
      <selection activeCell="D15" sqref="D15"/>
    </sheetView>
  </sheetViews>
  <sheetFormatPr baseColWidth="10" defaultColWidth="8.83203125" defaultRowHeight="13"/>
  <sheetData>
    <row r="1" spans="1:7" ht="43" thickBot="1">
      <c r="A1" s="8" t="s">
        <v>23</v>
      </c>
      <c r="B1" s="8" t="s">
        <v>338</v>
      </c>
      <c r="C1" s="8" t="s">
        <v>339</v>
      </c>
      <c r="D1" s="8" t="s">
        <v>340</v>
      </c>
      <c r="E1" s="8" t="s">
        <v>331</v>
      </c>
      <c r="F1" s="8" t="s">
        <v>201</v>
      </c>
      <c r="G1" s="18" t="s">
        <v>341</v>
      </c>
    </row>
    <row r="2" spans="1:7" ht="14" thickBot="1">
      <c r="A2" s="7">
        <v>0</v>
      </c>
      <c r="B2" s="7">
        <v>21.3</v>
      </c>
      <c r="C2" s="7">
        <v>16.2</v>
      </c>
      <c r="D2" s="7">
        <v>16.2</v>
      </c>
      <c r="E2" s="7">
        <v>15.8</v>
      </c>
      <c r="F2" s="7">
        <v>21.5</v>
      </c>
      <c r="G2" s="7">
        <v>22.1</v>
      </c>
    </row>
    <row r="3" spans="1:7" ht="14" thickBot="1">
      <c r="A3" s="7">
        <v>49.99</v>
      </c>
      <c r="B3" s="7">
        <v>21.2</v>
      </c>
      <c r="C3" s="7">
        <v>17</v>
      </c>
      <c r="D3" s="7">
        <v>16.899999999999999</v>
      </c>
      <c r="E3" s="7">
        <v>16.3</v>
      </c>
      <c r="F3" s="7">
        <v>21.2</v>
      </c>
      <c r="G3" s="7">
        <v>21.8</v>
      </c>
    </row>
    <row r="4" spans="1:7" ht="14" thickBot="1">
      <c r="A4" s="7">
        <v>75</v>
      </c>
      <c r="B4" s="7">
        <v>21.3</v>
      </c>
      <c r="C4" s="7">
        <v>17.100000000000001</v>
      </c>
      <c r="D4" s="7">
        <v>17</v>
      </c>
      <c r="E4" s="7">
        <v>17.100000000000001</v>
      </c>
      <c r="F4" s="7">
        <v>21.3</v>
      </c>
      <c r="G4" s="7">
        <v>21.9</v>
      </c>
    </row>
    <row r="5" spans="1:7" ht="14" thickBot="1">
      <c r="A5" s="7">
        <v>100.01</v>
      </c>
      <c r="B5" s="7">
        <v>22.3</v>
      </c>
      <c r="C5" s="7">
        <v>17.5</v>
      </c>
      <c r="D5" s="7">
        <v>17.600000000000001</v>
      </c>
      <c r="E5" s="7">
        <v>18.3</v>
      </c>
      <c r="F5" s="7">
        <v>22.1</v>
      </c>
      <c r="G5" s="7">
        <v>22.9</v>
      </c>
    </row>
    <row r="6" spans="1:7" ht="14" thickBot="1">
      <c r="A6" s="7">
        <v>110.11</v>
      </c>
      <c r="B6" s="7">
        <v>23.3</v>
      </c>
      <c r="C6" s="7">
        <v>17.8</v>
      </c>
      <c r="D6" s="7">
        <v>18</v>
      </c>
      <c r="E6" s="7">
        <v>19</v>
      </c>
      <c r="F6" s="7">
        <v>23</v>
      </c>
      <c r="G6" s="7">
        <v>23.8</v>
      </c>
    </row>
    <row r="7" spans="1:7" ht="14" thickBot="1">
      <c r="A7" s="7">
        <v>119.97</v>
      </c>
      <c r="B7" s="7">
        <v>23.8</v>
      </c>
      <c r="C7" s="7">
        <v>17.899999999999999</v>
      </c>
      <c r="D7" s="7">
        <v>18.100000000000001</v>
      </c>
      <c r="E7" s="7">
        <v>19.600000000000001</v>
      </c>
      <c r="F7" s="7">
        <v>23.4</v>
      </c>
      <c r="G7" s="7">
        <v>24</v>
      </c>
    </row>
    <row r="8" spans="1:7" ht="14" thickBot="1">
      <c r="A8" s="7">
        <v>129.94999999999999</v>
      </c>
      <c r="B8" s="7">
        <v>24.3</v>
      </c>
      <c r="C8" s="7">
        <v>17.7</v>
      </c>
      <c r="D8" s="7">
        <v>18.2</v>
      </c>
      <c r="E8" s="7">
        <v>20.2</v>
      </c>
      <c r="F8" s="7">
        <v>23.9</v>
      </c>
      <c r="G8" s="7">
        <v>24.5</v>
      </c>
    </row>
    <row r="9" spans="1:7" ht="14" thickBot="1">
      <c r="A9" s="7">
        <v>139.96</v>
      </c>
      <c r="B9" s="7">
        <v>25.1</v>
      </c>
      <c r="C9" s="7">
        <v>18.3</v>
      </c>
      <c r="D9" s="7">
        <v>18.600000000000001</v>
      </c>
      <c r="E9" s="7">
        <v>21</v>
      </c>
      <c r="F9" s="7">
        <v>24.4</v>
      </c>
      <c r="G9" s="7">
        <v>25.2</v>
      </c>
    </row>
    <row r="10" spans="1:7" ht="14" thickBot="1">
      <c r="A10" s="7">
        <v>150.03</v>
      </c>
      <c r="B10" s="7">
        <v>26.5</v>
      </c>
      <c r="C10" s="7">
        <v>18.600000000000001</v>
      </c>
      <c r="D10" s="7">
        <v>18.899999999999999</v>
      </c>
      <c r="E10" s="7">
        <v>22</v>
      </c>
      <c r="F10" s="7">
        <v>25.6</v>
      </c>
      <c r="G10" s="7">
        <v>26.3</v>
      </c>
    </row>
    <row r="11" spans="1:7" ht="14" thickBot="1">
      <c r="A11" s="7">
        <v>160</v>
      </c>
      <c r="B11" s="7">
        <v>27.1</v>
      </c>
      <c r="C11" s="7">
        <v>18.600000000000001</v>
      </c>
      <c r="D11" s="7">
        <v>19.2</v>
      </c>
      <c r="E11" s="7">
        <v>22.7</v>
      </c>
      <c r="F11" s="7">
        <v>26.2</v>
      </c>
      <c r="G11" s="7">
        <v>26.4</v>
      </c>
    </row>
    <row r="12" spans="1:7" ht="14" thickBot="1">
      <c r="A12" s="7">
        <v>169.98</v>
      </c>
      <c r="B12" s="7">
        <v>27.8</v>
      </c>
      <c r="C12" s="7">
        <v>18.7</v>
      </c>
      <c r="D12" s="7">
        <v>19.5</v>
      </c>
      <c r="E12" s="7">
        <v>23.7</v>
      </c>
      <c r="F12" s="7">
        <v>26.7</v>
      </c>
      <c r="G12" s="7">
        <v>27.2</v>
      </c>
    </row>
    <row r="13" spans="1:7" ht="14" thickBot="1">
      <c r="A13" s="7">
        <v>179.96</v>
      </c>
      <c r="B13" s="7">
        <v>28.8</v>
      </c>
      <c r="C13" s="7">
        <v>19.2</v>
      </c>
      <c r="D13" s="7">
        <v>20</v>
      </c>
      <c r="E13" s="7">
        <v>24.7</v>
      </c>
      <c r="F13" s="7">
        <v>27.8</v>
      </c>
      <c r="G13" s="7">
        <v>28.7</v>
      </c>
    </row>
    <row r="14" spans="1:7" ht="14" thickBot="1">
      <c r="A14" s="7">
        <v>190.06</v>
      </c>
      <c r="B14" s="7">
        <v>30.3</v>
      </c>
      <c r="C14" s="7">
        <v>19.7</v>
      </c>
      <c r="D14" s="7">
        <v>20.399999999999999</v>
      </c>
      <c r="E14" s="7">
        <v>25.8</v>
      </c>
      <c r="F14" s="7">
        <v>29.1</v>
      </c>
      <c r="G14" s="7">
        <v>29.1</v>
      </c>
    </row>
    <row r="15" spans="1:7" ht="14" thickBot="1">
      <c r="A15" s="7">
        <v>200.04</v>
      </c>
      <c r="B15" s="7">
        <v>31.4</v>
      </c>
      <c r="C15" s="7">
        <v>19.5</v>
      </c>
      <c r="D15" s="7">
        <v>20.7</v>
      </c>
      <c r="E15" s="7">
        <v>26.7</v>
      </c>
      <c r="F15" s="7">
        <v>30.1</v>
      </c>
      <c r="G15" s="7">
        <v>30.3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65F0-6E65-4A67-8823-6CFA8184F20F}">
  <dimension ref="A1:G44"/>
  <sheetViews>
    <sheetView topLeftCell="A32" workbookViewId="0">
      <selection activeCell="E22" sqref="E22"/>
    </sheetView>
  </sheetViews>
  <sheetFormatPr baseColWidth="10" defaultColWidth="8.83203125" defaultRowHeight="13"/>
  <sheetData>
    <row r="1" spans="1:7" ht="43" thickBot="1">
      <c r="A1" s="8" t="s">
        <v>347</v>
      </c>
      <c r="B1" s="8" t="s">
        <v>348</v>
      </c>
      <c r="C1" s="8" t="s">
        <v>349</v>
      </c>
      <c r="D1" s="18" t="s">
        <v>350</v>
      </c>
      <c r="G1" s="9" t="s">
        <v>351</v>
      </c>
    </row>
    <row r="2" spans="1:7" ht="14" thickBot="1">
      <c r="A2" s="7">
        <v>0</v>
      </c>
      <c r="B2" s="32">
        <v>120.67</v>
      </c>
      <c r="C2" s="7">
        <v>0</v>
      </c>
      <c r="D2" s="7">
        <v>-74.853800000000007</v>
      </c>
      <c r="F2" s="9" t="s">
        <v>352</v>
      </c>
    </row>
    <row r="3" spans="1:7" ht="14" thickBot="1">
      <c r="A3" s="7">
        <v>1</v>
      </c>
      <c r="B3" s="7">
        <v>177.93</v>
      </c>
      <c r="C3" s="7">
        <v>0.39370078739999997</v>
      </c>
      <c r="D3" s="7">
        <v>-64.853800000000007</v>
      </c>
    </row>
    <row r="4" spans="1:7" ht="14" thickBot="1">
      <c r="A4" s="7">
        <v>2</v>
      </c>
      <c r="B4" s="7">
        <v>205.44</v>
      </c>
      <c r="C4" s="7">
        <v>0.78740157479999995</v>
      </c>
      <c r="D4" s="7">
        <v>-54.8538</v>
      </c>
    </row>
    <row r="5" spans="1:7" ht="14" thickBot="1">
      <c r="A5" s="7">
        <v>3</v>
      </c>
      <c r="B5" s="7">
        <v>262.83999999999997</v>
      </c>
      <c r="C5" s="7">
        <v>1.1811023620000001</v>
      </c>
      <c r="D5" s="7">
        <v>-44.8538</v>
      </c>
      <c r="G5" s="9" t="s">
        <v>353</v>
      </c>
    </row>
    <row r="6" spans="1:7" ht="14" thickBot="1">
      <c r="A6" s="7">
        <v>3.5</v>
      </c>
      <c r="B6" s="7">
        <v>288.70999999999998</v>
      </c>
      <c r="C6" s="7">
        <v>1.377952756</v>
      </c>
      <c r="D6" s="7">
        <v>-39.8538</v>
      </c>
    </row>
    <row r="7" spans="1:7" ht="14" thickBot="1">
      <c r="A7" s="7">
        <v>4</v>
      </c>
      <c r="B7" s="7">
        <v>299.64</v>
      </c>
      <c r="C7" s="7">
        <v>1.5748031499999999</v>
      </c>
      <c r="D7" s="7">
        <v>-34.8538</v>
      </c>
    </row>
    <row r="8" spans="1:7" ht="14" thickBot="1">
      <c r="A8" s="7">
        <v>4.25</v>
      </c>
      <c r="B8" s="7">
        <v>330.52</v>
      </c>
      <c r="C8" s="7">
        <v>1.6732283459999999</v>
      </c>
      <c r="D8" s="7">
        <v>-32.3538</v>
      </c>
    </row>
    <row r="9" spans="1:7" ht="14" thickBot="1">
      <c r="A9" s="7">
        <v>4.5</v>
      </c>
      <c r="B9" s="7">
        <v>340.53</v>
      </c>
      <c r="C9" s="7">
        <v>1.771653543</v>
      </c>
      <c r="D9" s="7">
        <v>-29.8538</v>
      </c>
    </row>
    <row r="10" spans="1:7" ht="14" thickBot="1">
      <c r="A10" s="7">
        <v>4.75</v>
      </c>
      <c r="B10" s="7">
        <v>345.44</v>
      </c>
      <c r="C10" s="7">
        <v>1.8700787400000001</v>
      </c>
      <c r="D10" s="7">
        <v>-27.3538</v>
      </c>
    </row>
    <row r="11" spans="1:7" ht="14" thickBot="1">
      <c r="A11" s="7">
        <v>5</v>
      </c>
      <c r="B11" s="7">
        <v>358.05</v>
      </c>
      <c r="C11" s="7">
        <v>1.9685039369999999</v>
      </c>
      <c r="D11" s="7">
        <v>-24.8538</v>
      </c>
    </row>
    <row r="12" spans="1:7" ht="14" thickBot="1">
      <c r="A12" s="7">
        <v>5.25</v>
      </c>
      <c r="B12" s="32">
        <v>361.51</v>
      </c>
      <c r="C12" s="7">
        <v>2.066929134</v>
      </c>
      <c r="D12" s="7">
        <v>-22.3538</v>
      </c>
      <c r="F12" s="9" t="s">
        <v>354</v>
      </c>
    </row>
    <row r="13" spans="1:7" ht="14" thickBot="1">
      <c r="A13" s="7">
        <v>5.5</v>
      </c>
      <c r="B13" s="7">
        <v>366.06</v>
      </c>
      <c r="C13" s="7">
        <v>2.1653543310000001</v>
      </c>
      <c r="D13" s="7">
        <v>-19.8538</v>
      </c>
    </row>
    <row r="14" spans="1:7" ht="14" thickBot="1">
      <c r="A14" s="7">
        <v>5.75</v>
      </c>
      <c r="B14" s="7">
        <v>365.15</v>
      </c>
      <c r="C14" s="7">
        <v>2.2637795280000002</v>
      </c>
      <c r="D14" s="7">
        <v>-17.3538</v>
      </c>
    </row>
    <row r="15" spans="1:7" ht="14" thickBot="1">
      <c r="A15" s="7">
        <v>6</v>
      </c>
      <c r="B15" s="7">
        <v>359.86</v>
      </c>
      <c r="C15" s="7">
        <v>2.3622047240000001</v>
      </c>
      <c r="D15" s="7">
        <v>-14.8538</v>
      </c>
    </row>
    <row r="16" spans="1:7" ht="14" thickBot="1">
      <c r="A16" s="7">
        <v>6.25</v>
      </c>
      <c r="B16" s="7">
        <v>352.54</v>
      </c>
      <c r="C16" s="7">
        <v>2.4606299210000002</v>
      </c>
      <c r="D16" s="7">
        <v>-12.3538</v>
      </c>
    </row>
    <row r="17" spans="1:7" ht="14" thickBot="1">
      <c r="A17" s="7">
        <v>6.5</v>
      </c>
      <c r="B17" s="7">
        <v>341.51</v>
      </c>
      <c r="C17" s="7">
        <v>2.5590551179999999</v>
      </c>
      <c r="D17" s="7">
        <v>-9.8537999999999997</v>
      </c>
    </row>
    <row r="18" spans="1:7" ht="14" thickBot="1">
      <c r="A18" s="7">
        <v>6.75</v>
      </c>
      <c r="B18" s="7">
        <v>328.94</v>
      </c>
      <c r="C18" s="7">
        <v>2.6574803149999999</v>
      </c>
      <c r="D18" s="7">
        <v>-7.3537999999999997</v>
      </c>
    </row>
    <row r="19" spans="1:7" ht="14" thickBot="1">
      <c r="A19" s="7">
        <v>7</v>
      </c>
      <c r="B19" s="7">
        <v>315.36</v>
      </c>
      <c r="C19" s="7">
        <v>2.755905512</v>
      </c>
      <c r="D19" s="7">
        <v>-4.8537999999999997</v>
      </c>
    </row>
    <row r="20" spans="1:7" ht="14" thickBot="1">
      <c r="A20" s="7">
        <v>7.25</v>
      </c>
      <c r="B20" s="7">
        <v>294.08</v>
      </c>
      <c r="C20" s="7">
        <v>2.8543307090000001</v>
      </c>
      <c r="D20" s="7">
        <v>-2.3538000000000001</v>
      </c>
    </row>
    <row r="21" spans="1:7" ht="14" thickBot="1">
      <c r="A21" s="7">
        <v>7.5</v>
      </c>
      <c r="B21" s="32">
        <v>284.08</v>
      </c>
      <c r="C21" s="7">
        <v>2.9527559060000002</v>
      </c>
      <c r="D21" s="7">
        <v>0.1462</v>
      </c>
      <c r="E21" s="9" t="s">
        <v>355</v>
      </c>
      <c r="G21" s="9"/>
    </row>
    <row r="22" spans="1:7" ht="14" thickBot="1">
      <c r="A22" s="7">
        <v>7.62</v>
      </c>
      <c r="B22" s="7">
        <v>278.67</v>
      </c>
      <c r="C22" s="7">
        <v>3</v>
      </c>
      <c r="D22" s="7">
        <v>1.3462000000000001</v>
      </c>
    </row>
    <row r="23" spans="1:7" ht="14" thickBot="1">
      <c r="A23" s="7">
        <v>7.7787499999999996</v>
      </c>
      <c r="B23" s="7">
        <v>265.16000000000003</v>
      </c>
      <c r="C23" s="7">
        <v>3.0625</v>
      </c>
      <c r="D23" s="7">
        <v>2.9337</v>
      </c>
      <c r="G23" s="9"/>
    </row>
    <row r="24" spans="1:7" ht="14" thickBot="1">
      <c r="A24" s="7">
        <v>7.9375</v>
      </c>
      <c r="B24" s="7">
        <v>248.86</v>
      </c>
      <c r="C24" s="7">
        <v>3.125</v>
      </c>
      <c r="D24" s="7">
        <v>4.5212000000000003</v>
      </c>
    </row>
    <row r="25" spans="1:7" ht="14" thickBot="1">
      <c r="A25" s="7">
        <v>8.0962499999999995</v>
      </c>
      <c r="B25" s="7">
        <v>234.76</v>
      </c>
      <c r="C25" s="7">
        <v>3.1875</v>
      </c>
      <c r="D25" s="7">
        <v>6.1086999999999998</v>
      </c>
    </row>
    <row r="26" spans="1:7" ht="14" thickBot="1">
      <c r="A26" s="7">
        <v>8.2550000000000008</v>
      </c>
      <c r="B26" s="7">
        <v>218.9</v>
      </c>
      <c r="C26" s="7">
        <v>3.25</v>
      </c>
      <c r="D26" s="7">
        <v>7.6962000000000002</v>
      </c>
    </row>
    <row r="27" spans="1:7" ht="14" thickBot="1">
      <c r="A27" s="7">
        <v>8.4137500000000003</v>
      </c>
      <c r="B27" s="7">
        <v>207.59</v>
      </c>
      <c r="C27" s="7">
        <v>3.3125</v>
      </c>
      <c r="D27" s="7">
        <v>9.2836999999999996</v>
      </c>
    </row>
    <row r="28" spans="1:7" ht="14" thickBot="1">
      <c r="A28" s="7">
        <v>8.5724999999999998</v>
      </c>
      <c r="B28" s="7">
        <v>196.97</v>
      </c>
      <c r="C28" s="7">
        <v>3.375</v>
      </c>
      <c r="D28" s="7">
        <v>10.8712</v>
      </c>
    </row>
    <row r="29" spans="1:7" ht="14" thickBot="1">
      <c r="A29" s="7">
        <v>8.7185500000000005</v>
      </c>
      <c r="B29" s="7">
        <v>181.54</v>
      </c>
      <c r="C29" s="7">
        <v>3.4325000000000001</v>
      </c>
      <c r="D29" s="7">
        <v>12.3317</v>
      </c>
    </row>
    <row r="30" spans="1:7" ht="14" thickBot="1">
      <c r="A30" s="7">
        <v>8.89</v>
      </c>
      <c r="B30" s="7">
        <v>171.89</v>
      </c>
      <c r="C30" s="7">
        <v>3.5</v>
      </c>
      <c r="D30" s="7">
        <v>14.046200000000001</v>
      </c>
    </row>
    <row r="31" spans="1:7" ht="14" thickBot="1">
      <c r="A31" s="7">
        <v>9.0487500000000001</v>
      </c>
      <c r="B31" s="7">
        <v>163.26</v>
      </c>
      <c r="C31" s="7">
        <v>3.5625</v>
      </c>
      <c r="D31" s="7">
        <v>15.633699999999999</v>
      </c>
    </row>
    <row r="32" spans="1:7" ht="14" thickBot="1">
      <c r="A32" s="7">
        <v>9.2074999999999996</v>
      </c>
      <c r="B32" s="32">
        <v>156.28</v>
      </c>
      <c r="C32" s="7">
        <v>3.625</v>
      </c>
      <c r="D32" s="7">
        <v>17.2212</v>
      </c>
      <c r="E32" s="9" t="s">
        <v>356</v>
      </c>
    </row>
    <row r="33" spans="1:4" ht="14" thickBot="1">
      <c r="A33" s="7">
        <v>9.3662500000000009</v>
      </c>
      <c r="B33" s="7">
        <v>144.78</v>
      </c>
      <c r="C33" s="7">
        <v>3.6875</v>
      </c>
      <c r="D33" s="7">
        <v>18.808700000000002</v>
      </c>
    </row>
    <row r="34" spans="1:4" ht="14" thickBot="1">
      <c r="A34" s="7">
        <v>9.5250000000000004</v>
      </c>
      <c r="B34" s="7">
        <v>130.69</v>
      </c>
      <c r="C34" s="7">
        <v>3.75</v>
      </c>
      <c r="D34" s="7">
        <v>20.3962</v>
      </c>
    </row>
    <row r="35" spans="1:4" ht="14" thickBot="1">
      <c r="A35" s="7">
        <v>9.6837499999999999</v>
      </c>
      <c r="B35" s="7">
        <v>121.02</v>
      </c>
      <c r="C35" s="7">
        <v>3.8125</v>
      </c>
      <c r="D35" s="7">
        <v>21.983699999999999</v>
      </c>
    </row>
    <row r="36" spans="1:4" ht="14" thickBot="1">
      <c r="A36" s="7">
        <v>9.8424999999999994</v>
      </c>
      <c r="B36" s="7">
        <v>114.63</v>
      </c>
      <c r="C36" s="7">
        <v>3.875</v>
      </c>
      <c r="D36" s="7">
        <v>23.571200000000001</v>
      </c>
    </row>
    <row r="37" spans="1:4" ht="14" thickBot="1">
      <c r="A37" s="7">
        <v>10.001250000000001</v>
      </c>
      <c r="B37" s="7">
        <v>107.52</v>
      </c>
      <c r="C37" s="7">
        <v>3.9375</v>
      </c>
      <c r="D37" s="7">
        <v>25.1587</v>
      </c>
    </row>
    <row r="38" spans="1:4" ht="14" thickBot="1">
      <c r="A38" s="7">
        <v>10.16</v>
      </c>
      <c r="B38" s="7">
        <v>101.71</v>
      </c>
      <c r="C38" s="7">
        <v>4</v>
      </c>
      <c r="D38" s="7">
        <v>26.746200000000002</v>
      </c>
    </row>
    <row r="39" spans="1:4" ht="14" thickBot="1">
      <c r="A39" s="7">
        <v>10.795</v>
      </c>
      <c r="B39" s="7">
        <v>78.150000000000006</v>
      </c>
      <c r="C39" s="7">
        <v>4.25</v>
      </c>
      <c r="D39" s="7">
        <v>33.096200000000003</v>
      </c>
    </row>
    <row r="40" spans="1:4" ht="14" thickBot="1">
      <c r="A40" s="7">
        <v>11.43</v>
      </c>
      <c r="B40" s="7">
        <v>63.3</v>
      </c>
      <c r="C40" s="7">
        <v>4.5</v>
      </c>
      <c r="D40" s="7">
        <v>39.446199999999997</v>
      </c>
    </row>
    <row r="41" spans="1:4" ht="14" thickBot="1">
      <c r="A41" s="7">
        <v>12.065</v>
      </c>
      <c r="B41" s="7">
        <v>49.97</v>
      </c>
      <c r="C41" s="7">
        <v>4.75</v>
      </c>
      <c r="D41" s="7">
        <v>45.796199999999999</v>
      </c>
    </row>
    <row r="42" spans="1:4" ht="14" thickBot="1">
      <c r="A42" s="7">
        <v>12.7</v>
      </c>
      <c r="B42" s="7">
        <v>43.46</v>
      </c>
      <c r="C42" s="7">
        <v>5</v>
      </c>
      <c r="D42" s="7">
        <v>52.1462</v>
      </c>
    </row>
    <row r="43" spans="1:4" ht="14" thickBot="1">
      <c r="A43" s="7">
        <v>13.97</v>
      </c>
      <c r="B43" s="7">
        <v>31.39</v>
      </c>
      <c r="C43" s="7">
        <v>5.5</v>
      </c>
      <c r="D43" s="7">
        <v>64.846199999999996</v>
      </c>
    </row>
    <row r="44" spans="1:4" ht="14" thickBot="1">
      <c r="A44" s="7">
        <v>15.24</v>
      </c>
      <c r="B44" s="7">
        <v>24.8</v>
      </c>
      <c r="C44" s="7">
        <v>6</v>
      </c>
      <c r="D44" s="7">
        <v>77.546199999999999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5882-B882-4F34-B5CD-96C3355B5115}">
  <dimension ref="A1:D32"/>
  <sheetViews>
    <sheetView workbookViewId="0">
      <selection sqref="A1:C1"/>
    </sheetView>
  </sheetViews>
  <sheetFormatPr baseColWidth="10" defaultColWidth="8.83203125" defaultRowHeight="13"/>
  <sheetData>
    <row r="1" spans="1:4" ht="57" thickBot="1">
      <c r="A1" s="8" t="s">
        <v>357</v>
      </c>
      <c r="B1" s="8" t="s">
        <v>358</v>
      </c>
      <c r="C1" s="8" t="s">
        <v>359</v>
      </c>
    </row>
    <row r="2" spans="1:4" ht="14" thickBot="1">
      <c r="A2" s="7">
        <v>-4</v>
      </c>
      <c r="B2" s="7">
        <v>58.75</v>
      </c>
      <c r="C2" s="7">
        <v>-10.16</v>
      </c>
    </row>
    <row r="3" spans="1:4" ht="14" thickBot="1">
      <c r="A3" s="7">
        <v>-3.8</v>
      </c>
      <c r="B3" s="7">
        <v>71.069999999999993</v>
      </c>
      <c r="C3" s="7">
        <v>-9.6519999999999992</v>
      </c>
    </row>
    <row r="4" spans="1:4" ht="14" thickBot="1">
      <c r="A4" s="7">
        <v>-3.6</v>
      </c>
      <c r="B4" s="7">
        <v>82.59</v>
      </c>
      <c r="C4" s="7">
        <v>-9.1440000000000001</v>
      </c>
    </row>
    <row r="5" spans="1:4" ht="14" thickBot="1">
      <c r="A5" s="7">
        <v>-3.4</v>
      </c>
      <c r="B5" s="7">
        <v>107.13</v>
      </c>
      <c r="C5" s="7">
        <v>-8.6359999999999992</v>
      </c>
    </row>
    <row r="6" spans="1:4" ht="14" thickBot="1">
      <c r="A6" s="7">
        <v>-3.2</v>
      </c>
      <c r="B6" s="7">
        <v>126.49</v>
      </c>
      <c r="C6" s="7">
        <v>-8.1280000000000001</v>
      </c>
    </row>
    <row r="7" spans="1:4" ht="14" thickBot="1">
      <c r="A7" s="7">
        <v>-3</v>
      </c>
      <c r="B7" s="7">
        <v>149.97999999999999</v>
      </c>
      <c r="C7" s="7">
        <v>-7.62</v>
      </c>
    </row>
    <row r="8" spans="1:4" ht="14" thickBot="1">
      <c r="A8" s="7">
        <v>-2.8</v>
      </c>
      <c r="B8" s="7">
        <v>180.38</v>
      </c>
      <c r="C8" s="7">
        <v>-7.1120000000000001</v>
      </c>
    </row>
    <row r="9" spans="1:4" ht="14" thickBot="1">
      <c r="A9" s="7">
        <v>-2.6</v>
      </c>
      <c r="B9" s="7">
        <v>216.75</v>
      </c>
      <c r="C9" s="7">
        <v>-6.6040000000000001</v>
      </c>
    </row>
    <row r="10" spans="1:4" ht="14" thickBot="1">
      <c r="A10" s="7">
        <v>-2.4</v>
      </c>
      <c r="B10" s="7">
        <v>253.52</v>
      </c>
      <c r="C10" s="7">
        <v>-6.0960000000000001</v>
      </c>
    </row>
    <row r="11" spans="1:4" ht="14" thickBot="1">
      <c r="A11" s="7">
        <v>-2.2000000000000002</v>
      </c>
      <c r="B11" s="7">
        <v>291.60000000000002</v>
      </c>
      <c r="C11" s="7">
        <v>-5.5880000000000001</v>
      </c>
    </row>
    <row r="12" spans="1:4" ht="14" thickBot="1">
      <c r="A12" s="7">
        <v>-2</v>
      </c>
      <c r="B12" s="7">
        <v>315.27999999999997</v>
      </c>
      <c r="C12" s="7">
        <v>-5.08</v>
      </c>
    </row>
    <row r="13" spans="1:4" ht="14" thickBot="1">
      <c r="A13" s="7">
        <v>-1.8</v>
      </c>
      <c r="B13" s="7">
        <v>334.22</v>
      </c>
      <c r="C13" s="7">
        <v>-4.5720000000000001</v>
      </c>
    </row>
    <row r="14" spans="1:4" ht="14" thickBot="1">
      <c r="A14" s="7">
        <v>-1.6</v>
      </c>
      <c r="B14" s="7">
        <v>373.93</v>
      </c>
      <c r="C14" s="7">
        <v>-4.0640000000000001</v>
      </c>
    </row>
    <row r="15" spans="1:4" ht="14" thickBot="1">
      <c r="A15" s="7">
        <v>-1.4</v>
      </c>
      <c r="B15" s="7">
        <v>386.97</v>
      </c>
      <c r="C15" s="7">
        <v>-3.556</v>
      </c>
    </row>
    <row r="16" spans="1:4" ht="14" thickBot="1">
      <c r="A16" s="7">
        <v>-1.2</v>
      </c>
      <c r="B16" s="32">
        <v>392.41</v>
      </c>
      <c r="C16" s="7">
        <v>-3.048</v>
      </c>
      <c r="D16" s="9" t="s">
        <v>360</v>
      </c>
    </row>
    <row r="17" spans="1:4" ht="14" thickBot="1">
      <c r="A17" s="7">
        <v>-1</v>
      </c>
      <c r="B17" s="7">
        <v>389.4</v>
      </c>
      <c r="C17" s="7">
        <v>-2.54</v>
      </c>
    </row>
    <row r="18" spans="1:4" ht="14" thickBot="1">
      <c r="A18" s="7">
        <v>-0.8</v>
      </c>
      <c r="B18" s="7">
        <v>387.04</v>
      </c>
      <c r="C18" s="7">
        <v>-2.032</v>
      </c>
    </row>
    <row r="19" spans="1:4" ht="14" thickBot="1">
      <c r="A19" s="7">
        <v>-0.6</v>
      </c>
      <c r="B19" s="7">
        <v>375.24</v>
      </c>
      <c r="C19" s="7">
        <v>-1.524</v>
      </c>
    </row>
    <row r="20" spans="1:4" ht="14" thickBot="1">
      <c r="A20" s="7">
        <v>-0.4</v>
      </c>
      <c r="B20" s="7">
        <v>348.65</v>
      </c>
      <c r="C20" s="7">
        <v>-1.016</v>
      </c>
    </row>
    <row r="21" spans="1:4" ht="14" thickBot="1">
      <c r="A21" s="7">
        <v>-0.2</v>
      </c>
      <c r="B21" s="7">
        <v>313.45</v>
      </c>
      <c r="C21" s="7">
        <v>-0.50800000000000001</v>
      </c>
    </row>
    <row r="22" spans="1:4" ht="14" thickBot="1">
      <c r="A22" s="7">
        <v>0</v>
      </c>
      <c r="B22" s="32">
        <v>277.63</v>
      </c>
      <c r="C22" s="7">
        <v>0</v>
      </c>
      <c r="D22" s="9" t="s">
        <v>361</v>
      </c>
    </row>
    <row r="23" spans="1:4" ht="14" thickBot="1">
      <c r="A23" s="7">
        <v>0.2</v>
      </c>
      <c r="B23" s="7">
        <v>234.8</v>
      </c>
      <c r="C23" s="7">
        <v>0.50800000000000001</v>
      </c>
    </row>
    <row r="24" spans="1:4" ht="14" thickBot="1">
      <c r="A24" s="7">
        <v>0.4</v>
      </c>
      <c r="B24" s="7">
        <v>194.46</v>
      </c>
      <c r="C24" s="7">
        <v>1.016</v>
      </c>
    </row>
    <row r="25" spans="1:4" ht="14" thickBot="1">
      <c r="A25" s="7">
        <v>0.6</v>
      </c>
      <c r="B25" s="32">
        <v>170.17</v>
      </c>
      <c r="C25" s="7">
        <v>1.524</v>
      </c>
      <c r="D25" s="9" t="s">
        <v>362</v>
      </c>
    </row>
    <row r="26" spans="1:4" ht="14" thickBot="1">
      <c r="A26" s="7">
        <v>0.8</v>
      </c>
      <c r="B26" s="7">
        <v>137.9</v>
      </c>
      <c r="C26" s="7">
        <v>2.032</v>
      </c>
    </row>
    <row r="27" spans="1:4" ht="14" thickBot="1">
      <c r="A27" s="7">
        <v>1</v>
      </c>
      <c r="B27" s="7">
        <v>113.36</v>
      </c>
      <c r="C27" s="7">
        <v>2.54</v>
      </c>
    </row>
    <row r="28" spans="1:4" ht="14" thickBot="1">
      <c r="A28" s="7">
        <v>1.2</v>
      </c>
      <c r="B28" s="7">
        <v>94.52</v>
      </c>
      <c r="C28" s="7">
        <v>3.048</v>
      </c>
    </row>
    <row r="29" spans="1:4" ht="14" thickBot="1">
      <c r="A29" s="7">
        <v>1.4</v>
      </c>
      <c r="B29" s="7">
        <v>78.150000000000006</v>
      </c>
      <c r="C29" s="7">
        <v>3.556</v>
      </c>
    </row>
    <row r="30" spans="1:4" ht="14" thickBot="1">
      <c r="A30" s="7">
        <v>1.6</v>
      </c>
      <c r="B30" s="7">
        <v>65.36</v>
      </c>
      <c r="C30" s="7">
        <v>4.0640000000000001</v>
      </c>
    </row>
    <row r="31" spans="1:4" ht="14" thickBot="1">
      <c r="A31" s="7">
        <v>1.8</v>
      </c>
      <c r="B31" s="7">
        <v>55.81</v>
      </c>
      <c r="C31" s="7">
        <v>4.5720000000000001</v>
      </c>
    </row>
    <row r="32" spans="1:4" ht="14" thickBot="1">
      <c r="A32" s="7">
        <v>2</v>
      </c>
      <c r="B32" s="7">
        <v>46.69</v>
      </c>
      <c r="C32" s="7">
        <v>5.08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5576-F0C1-4BA2-A97E-13856147B2DC}">
  <dimension ref="A1:C33"/>
  <sheetViews>
    <sheetView workbookViewId="0">
      <selection sqref="A1:B1"/>
    </sheetView>
  </sheetViews>
  <sheetFormatPr baseColWidth="10" defaultColWidth="8.83203125" defaultRowHeight="13"/>
  <sheetData>
    <row r="1" spans="1:3" ht="57" thickBot="1">
      <c r="A1" s="8" t="s">
        <v>359</v>
      </c>
      <c r="B1" s="8" t="s">
        <v>358</v>
      </c>
      <c r="C1" s="8" t="s">
        <v>363</v>
      </c>
    </row>
    <row r="2" spans="1:3" ht="14" thickBot="1">
      <c r="A2" s="7">
        <v>-7.62</v>
      </c>
      <c r="B2" s="7">
        <v>101.39</v>
      </c>
      <c r="C2" s="7">
        <v>5.2</v>
      </c>
    </row>
    <row r="3" spans="1:3" ht="14" thickBot="1">
      <c r="A3" s="7">
        <v>-7.1120000000000001</v>
      </c>
      <c r="B3" s="7">
        <v>120.11</v>
      </c>
      <c r="C3" s="7">
        <v>5.2</v>
      </c>
    </row>
    <row r="4" spans="1:3" ht="14" thickBot="1">
      <c r="A4" s="7">
        <v>-6.6040000000000001</v>
      </c>
      <c r="B4" s="7">
        <v>150.56</v>
      </c>
      <c r="C4" s="7">
        <v>5.2</v>
      </c>
    </row>
    <row r="5" spans="1:3" ht="14" thickBot="1">
      <c r="A5" s="7">
        <v>-6.0960000000000001</v>
      </c>
      <c r="B5" s="7">
        <v>187.48</v>
      </c>
      <c r="C5" s="7">
        <v>5.2</v>
      </c>
    </row>
    <row r="6" spans="1:3" ht="14" thickBot="1">
      <c r="A6" s="7">
        <v>-5.5880000000000001</v>
      </c>
      <c r="B6" s="7">
        <v>217.86</v>
      </c>
      <c r="C6" s="7">
        <v>5.2</v>
      </c>
    </row>
    <row r="7" spans="1:3" ht="14" thickBot="1">
      <c r="A7" s="7">
        <v>-5.08</v>
      </c>
      <c r="B7" s="7">
        <v>265.62</v>
      </c>
      <c r="C7" s="7">
        <v>5.2</v>
      </c>
    </row>
    <row r="8" spans="1:3" ht="14" thickBot="1">
      <c r="A8" s="7">
        <v>-4.5720000000000001</v>
      </c>
      <c r="B8" s="7">
        <v>318.43</v>
      </c>
      <c r="C8" s="7">
        <v>5.2</v>
      </c>
    </row>
    <row r="9" spans="1:3" ht="14" thickBot="1">
      <c r="A9" s="7">
        <v>-4.0640000000000001</v>
      </c>
      <c r="B9" s="7">
        <v>358.82</v>
      </c>
      <c r="C9" s="7">
        <v>5.2</v>
      </c>
    </row>
    <row r="10" spans="1:3" ht="14" thickBot="1">
      <c r="A10" s="7">
        <v>-3.556</v>
      </c>
      <c r="B10" s="7">
        <v>391.7</v>
      </c>
      <c r="C10" s="7">
        <v>5.2</v>
      </c>
    </row>
    <row r="11" spans="1:3" ht="14" thickBot="1">
      <c r="A11" s="7">
        <v>-3.048</v>
      </c>
      <c r="B11" s="7">
        <v>419.13</v>
      </c>
      <c r="C11" s="7">
        <v>5.2</v>
      </c>
    </row>
    <row r="12" spans="1:3" ht="14" thickBot="1">
      <c r="A12" s="7">
        <v>-2.54</v>
      </c>
      <c r="B12" s="7">
        <v>423.01</v>
      </c>
      <c r="C12" s="7">
        <v>5.2</v>
      </c>
    </row>
    <row r="13" spans="1:3" ht="14" thickBot="1">
      <c r="A13" s="7">
        <v>-2.032</v>
      </c>
      <c r="B13" s="7">
        <v>409.51</v>
      </c>
      <c r="C13" s="7">
        <v>5.2</v>
      </c>
    </row>
    <row r="14" spans="1:3" ht="14" thickBot="1">
      <c r="A14" s="24">
        <v>-1.524</v>
      </c>
      <c r="B14" s="7">
        <v>383.34</v>
      </c>
      <c r="C14" s="7">
        <v>5.2</v>
      </c>
    </row>
    <row r="15" spans="1:3" ht="14" thickBot="1">
      <c r="A15" s="7">
        <v>-1.016</v>
      </c>
      <c r="B15" s="7">
        <v>345.96</v>
      </c>
      <c r="C15" s="7">
        <v>5.2</v>
      </c>
    </row>
    <row r="16" spans="1:3" ht="14" thickBot="1">
      <c r="A16" s="7">
        <v>-0.50800000000000001</v>
      </c>
      <c r="B16" s="7">
        <v>309</v>
      </c>
      <c r="C16" s="7">
        <v>5.2</v>
      </c>
    </row>
    <row r="17" spans="1:3" ht="14" thickBot="1">
      <c r="A17" s="7">
        <v>0</v>
      </c>
      <c r="B17" s="7">
        <v>271.08</v>
      </c>
      <c r="C17" s="7">
        <v>5.2</v>
      </c>
    </row>
    <row r="18" spans="1:3" ht="14" thickBot="1">
      <c r="A18" s="7">
        <v>0.2</v>
      </c>
      <c r="B18" s="7">
        <v>257.11</v>
      </c>
      <c r="C18" s="7">
        <v>5.2</v>
      </c>
    </row>
    <row r="19" spans="1:3" ht="14" thickBot="1">
      <c r="A19" s="7">
        <v>0.4</v>
      </c>
      <c r="B19" s="7">
        <v>241.73</v>
      </c>
      <c r="C19" s="7">
        <v>5.2</v>
      </c>
    </row>
    <row r="20" spans="1:3" ht="14" thickBot="1">
      <c r="A20" s="7">
        <v>0.6</v>
      </c>
      <c r="B20" s="7">
        <v>222.58</v>
      </c>
      <c r="C20" s="7">
        <v>5.2</v>
      </c>
    </row>
    <row r="21" spans="1:3" ht="14" thickBot="1">
      <c r="A21" s="7">
        <v>0.8</v>
      </c>
      <c r="B21" s="7">
        <v>210.4</v>
      </c>
      <c r="C21" s="7">
        <v>5.2</v>
      </c>
    </row>
    <row r="22" spans="1:3" ht="14" thickBot="1">
      <c r="A22" s="7">
        <v>1</v>
      </c>
      <c r="B22" s="7">
        <v>195.9</v>
      </c>
      <c r="C22" s="7">
        <v>5.2</v>
      </c>
    </row>
    <row r="23" spans="1:3" ht="14" thickBot="1">
      <c r="A23" s="7">
        <v>1.2</v>
      </c>
      <c r="B23" s="7">
        <v>186</v>
      </c>
      <c r="C23" s="7">
        <v>5.2</v>
      </c>
    </row>
    <row r="24" spans="1:3" ht="14" thickBot="1">
      <c r="A24" s="7">
        <v>1.4</v>
      </c>
      <c r="B24" s="7">
        <v>172.13</v>
      </c>
      <c r="C24" s="7">
        <v>5.2</v>
      </c>
    </row>
    <row r="25" spans="1:3" ht="14" thickBot="1">
      <c r="A25" s="7">
        <v>1.5</v>
      </c>
      <c r="B25" s="7">
        <v>161.33000000000001</v>
      </c>
      <c r="C25" s="7">
        <v>5.2</v>
      </c>
    </row>
    <row r="26" spans="1:3" ht="14" thickBot="1">
      <c r="A26" s="7">
        <v>1.6</v>
      </c>
      <c r="B26" s="7">
        <v>154.26</v>
      </c>
      <c r="C26" s="7">
        <v>5.2</v>
      </c>
    </row>
    <row r="27" spans="1:3" ht="14" thickBot="1">
      <c r="A27" s="7">
        <v>1.8</v>
      </c>
      <c r="B27" s="7">
        <v>145.06</v>
      </c>
      <c r="C27" s="7">
        <v>5.2</v>
      </c>
    </row>
    <row r="28" spans="1:3" ht="14" thickBot="1">
      <c r="A28" s="7">
        <v>2</v>
      </c>
      <c r="B28" s="7">
        <v>129.94</v>
      </c>
      <c r="C28" s="7">
        <v>5.2</v>
      </c>
    </row>
    <row r="29" spans="1:3" ht="14" thickBot="1">
      <c r="A29" s="7">
        <v>2.2000000000000002</v>
      </c>
      <c r="B29" s="7">
        <v>126.54</v>
      </c>
      <c r="C29" s="7">
        <v>5.2</v>
      </c>
    </row>
    <row r="30" spans="1:3" ht="14" thickBot="1">
      <c r="A30" s="7">
        <v>2.4</v>
      </c>
      <c r="B30" s="7">
        <v>119.81</v>
      </c>
      <c r="C30" s="7">
        <v>5.2</v>
      </c>
    </row>
    <row r="31" spans="1:3" ht="14" thickBot="1">
      <c r="A31" s="7">
        <v>2.6</v>
      </c>
      <c r="B31" s="7">
        <v>111.23</v>
      </c>
      <c r="C31" s="7">
        <v>5.2</v>
      </c>
    </row>
    <row r="32" spans="1:3" ht="14" thickBot="1">
      <c r="A32" s="7">
        <v>2.8</v>
      </c>
      <c r="B32" s="7">
        <v>104.12</v>
      </c>
      <c r="C32" s="7">
        <v>5.2</v>
      </c>
    </row>
    <row r="33" spans="1:3" ht="14" thickBot="1">
      <c r="A33" s="7">
        <v>3</v>
      </c>
      <c r="B33" s="7">
        <v>97.01</v>
      </c>
      <c r="C33" s="7">
        <v>5.2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C7BF-41FD-4E20-AF3D-FEC7624E8BF7}">
  <dimension ref="A1:L35"/>
  <sheetViews>
    <sheetView workbookViewId="0">
      <selection sqref="A1:B1"/>
    </sheetView>
  </sheetViews>
  <sheetFormatPr baseColWidth="10" defaultColWidth="8.83203125" defaultRowHeight="13"/>
  <sheetData>
    <row r="1" spans="1:12" ht="57" thickBot="1">
      <c r="A1" s="8" t="s">
        <v>359</v>
      </c>
      <c r="B1" s="8" t="s">
        <v>358</v>
      </c>
      <c r="D1" s="8" t="s">
        <v>359</v>
      </c>
      <c r="E1" s="8" t="s">
        <v>358</v>
      </c>
      <c r="G1" s="8" t="s">
        <v>359</v>
      </c>
      <c r="H1" s="8" t="s">
        <v>358</v>
      </c>
      <c r="J1" s="8" t="s">
        <v>359</v>
      </c>
      <c r="K1" s="8" t="s">
        <v>358</v>
      </c>
    </row>
    <row r="2" spans="1:12" ht="14" thickBot="1">
      <c r="A2" s="7">
        <v>-7.1120000000000001</v>
      </c>
      <c r="B2" s="7">
        <v>131.97999999999999</v>
      </c>
      <c r="D2">
        <v>-7.62</v>
      </c>
      <c r="E2">
        <v>102.95</v>
      </c>
      <c r="G2">
        <v>-7.62</v>
      </c>
      <c r="H2">
        <v>101.39</v>
      </c>
      <c r="J2">
        <v>-7.62</v>
      </c>
      <c r="K2">
        <v>102.17</v>
      </c>
    </row>
    <row r="3" spans="1:12" ht="14" thickBot="1">
      <c r="A3" s="7">
        <v>-6.6040000000000001</v>
      </c>
      <c r="B3" s="7">
        <v>159.96</v>
      </c>
      <c r="D3">
        <v>-7.1120000000000001</v>
      </c>
      <c r="E3">
        <v>126.84</v>
      </c>
      <c r="G3">
        <v>-7.1120000000000001</v>
      </c>
      <c r="H3">
        <v>120.11</v>
      </c>
      <c r="J3">
        <v>-7.1120000000000001</v>
      </c>
      <c r="K3">
        <v>126.31</v>
      </c>
    </row>
    <row r="4" spans="1:12" ht="14" thickBot="1">
      <c r="A4" s="7">
        <v>-6.0960000000000001</v>
      </c>
      <c r="B4" s="7">
        <v>195.91</v>
      </c>
      <c r="D4">
        <v>-6.6040000000000001</v>
      </c>
      <c r="E4">
        <v>148.27000000000001</v>
      </c>
      <c r="G4">
        <v>-6.6040000000000001</v>
      </c>
      <c r="H4">
        <v>150.56</v>
      </c>
      <c r="J4">
        <v>-6.6040000000000001</v>
      </c>
      <c r="K4">
        <v>152.93</v>
      </c>
    </row>
    <row r="5" spans="1:12" ht="14" thickBot="1">
      <c r="A5" s="7">
        <v>-5.5880000000000001</v>
      </c>
      <c r="B5" s="24">
        <v>230.79</v>
      </c>
      <c r="D5">
        <v>-6.0960000000000001</v>
      </c>
      <c r="E5">
        <v>184.74</v>
      </c>
      <c r="G5">
        <v>-6.0960000000000001</v>
      </c>
      <c r="H5">
        <v>187.48</v>
      </c>
      <c r="J5">
        <v>-6.0960000000000001</v>
      </c>
      <c r="K5">
        <v>189.37666669999999</v>
      </c>
    </row>
    <row r="6" spans="1:12" ht="14" thickBot="1">
      <c r="A6" s="7">
        <v>-5.08</v>
      </c>
      <c r="B6" s="7">
        <v>271.73</v>
      </c>
      <c r="D6">
        <v>-5.5880000000000001</v>
      </c>
      <c r="E6">
        <v>221.78</v>
      </c>
      <c r="G6">
        <v>-5.5880000000000001</v>
      </c>
      <c r="H6">
        <v>217.86</v>
      </c>
      <c r="J6">
        <v>-5.5880000000000001</v>
      </c>
      <c r="K6">
        <v>223.47666670000001</v>
      </c>
    </row>
    <row r="7" spans="1:12" ht="14" thickBot="1">
      <c r="A7" s="7">
        <v>-4.5720000000000001</v>
      </c>
      <c r="B7" s="7">
        <v>317.77</v>
      </c>
      <c r="D7">
        <v>-5.08</v>
      </c>
      <c r="E7">
        <v>265.63</v>
      </c>
      <c r="G7">
        <v>-5.08</v>
      </c>
      <c r="H7">
        <v>265.62</v>
      </c>
      <c r="J7">
        <v>-5.08</v>
      </c>
      <c r="K7">
        <v>267.66000000000003</v>
      </c>
    </row>
    <row r="8" spans="1:12" ht="14" thickBot="1">
      <c r="A8" s="7">
        <v>-4.0640000000000001</v>
      </c>
      <c r="B8" s="7">
        <v>362</v>
      </c>
      <c r="D8">
        <v>-4.5720000000000001</v>
      </c>
      <c r="E8">
        <v>307.33999999999997</v>
      </c>
      <c r="G8">
        <v>-4.5720000000000001</v>
      </c>
      <c r="H8">
        <v>318.43</v>
      </c>
      <c r="J8">
        <v>-4.5720000000000001</v>
      </c>
      <c r="K8">
        <v>314.5133333</v>
      </c>
    </row>
    <row r="9" spans="1:12" ht="14" thickBot="1">
      <c r="A9" s="7">
        <v>-3.556</v>
      </c>
      <c r="B9" s="7">
        <v>396.21</v>
      </c>
      <c r="D9">
        <v>-4.0640000000000001</v>
      </c>
      <c r="E9">
        <v>352.26</v>
      </c>
      <c r="G9">
        <v>-4.0640000000000001</v>
      </c>
      <c r="H9">
        <v>358.82</v>
      </c>
      <c r="J9">
        <v>-4.0640000000000001</v>
      </c>
      <c r="K9">
        <v>357.69333330000001</v>
      </c>
    </row>
    <row r="10" spans="1:12" ht="14" thickBot="1">
      <c r="A10" s="7">
        <v>-3.048</v>
      </c>
      <c r="B10" s="7">
        <v>408.35</v>
      </c>
      <c r="D10">
        <v>-3.556</v>
      </c>
      <c r="E10">
        <v>386.08</v>
      </c>
      <c r="G10">
        <v>-3.556</v>
      </c>
      <c r="H10">
        <v>391.7</v>
      </c>
      <c r="J10">
        <v>-3.556</v>
      </c>
      <c r="K10">
        <v>391.33</v>
      </c>
    </row>
    <row r="11" spans="1:12" ht="14" thickBot="1">
      <c r="A11" s="7">
        <v>-2.54</v>
      </c>
      <c r="B11" s="32">
        <v>419.24</v>
      </c>
      <c r="C11" s="9" t="s">
        <v>364</v>
      </c>
      <c r="D11">
        <v>-3.048</v>
      </c>
      <c r="E11">
        <v>416.4</v>
      </c>
      <c r="G11">
        <v>-3.048</v>
      </c>
      <c r="H11">
        <v>419.13</v>
      </c>
      <c r="J11">
        <v>-3.048</v>
      </c>
      <c r="K11">
        <v>414.62666669999999</v>
      </c>
    </row>
    <row r="12" spans="1:12" ht="14" thickBot="1">
      <c r="A12" s="7">
        <v>-2.032</v>
      </c>
      <c r="B12" s="7">
        <v>406.75</v>
      </c>
      <c r="D12">
        <v>-2.54</v>
      </c>
      <c r="E12" s="33">
        <v>423.35</v>
      </c>
      <c r="F12" s="9" t="s">
        <v>364</v>
      </c>
      <c r="G12">
        <v>-2.54</v>
      </c>
      <c r="H12" s="33">
        <v>423.01</v>
      </c>
      <c r="I12" s="9" t="s">
        <v>364</v>
      </c>
      <c r="J12">
        <v>-2.54</v>
      </c>
      <c r="K12" s="33">
        <v>421.8666667</v>
      </c>
      <c r="L12" s="9" t="s">
        <v>364</v>
      </c>
    </row>
    <row r="13" spans="1:12" ht="14" thickBot="1">
      <c r="A13" s="7">
        <v>-1.524</v>
      </c>
      <c r="B13" s="7">
        <v>371.93</v>
      </c>
      <c r="D13">
        <v>-2.032</v>
      </c>
      <c r="E13">
        <v>412.88</v>
      </c>
      <c r="G13">
        <v>-2.032</v>
      </c>
      <c r="H13">
        <v>409.51</v>
      </c>
      <c r="J13">
        <v>-2.032</v>
      </c>
      <c r="K13">
        <v>409.71333329999999</v>
      </c>
    </row>
    <row r="14" spans="1:12" ht="14" thickBot="1">
      <c r="A14" s="7">
        <v>-1.016</v>
      </c>
      <c r="B14" s="7">
        <v>342.8</v>
      </c>
      <c r="D14">
        <v>-1.524</v>
      </c>
      <c r="E14">
        <v>394.23</v>
      </c>
      <c r="G14">
        <v>-1.524</v>
      </c>
      <c r="H14">
        <v>383.34</v>
      </c>
      <c r="J14">
        <v>-1.524</v>
      </c>
      <c r="K14">
        <v>383.16666670000001</v>
      </c>
    </row>
    <row r="15" spans="1:12" ht="14" thickBot="1">
      <c r="A15" s="7">
        <v>-0.50800000000000001</v>
      </c>
      <c r="B15" s="7">
        <v>308.83</v>
      </c>
      <c r="D15">
        <v>-1.016</v>
      </c>
      <c r="E15">
        <v>358.15</v>
      </c>
      <c r="G15">
        <v>-1.016</v>
      </c>
      <c r="H15">
        <v>345.96</v>
      </c>
      <c r="J15">
        <v>-1.016</v>
      </c>
      <c r="K15">
        <v>348.97</v>
      </c>
    </row>
    <row r="16" spans="1:12" ht="14" thickBot="1">
      <c r="A16" s="7">
        <v>0</v>
      </c>
      <c r="B16" s="32">
        <v>272.14999999999998</v>
      </c>
      <c r="C16" s="9" t="s">
        <v>220</v>
      </c>
      <c r="D16">
        <v>-0.50800000000000001</v>
      </c>
      <c r="E16">
        <v>313.08999999999997</v>
      </c>
      <c r="G16">
        <v>-0.50800000000000001</v>
      </c>
      <c r="H16">
        <v>309</v>
      </c>
      <c r="J16">
        <v>-0.50800000000000001</v>
      </c>
      <c r="K16">
        <v>310.30666669999999</v>
      </c>
    </row>
    <row r="17" spans="1:12" ht="14" thickBot="1">
      <c r="A17" s="7">
        <v>0.2</v>
      </c>
      <c r="B17" s="7">
        <v>256.01</v>
      </c>
      <c r="D17">
        <v>0</v>
      </c>
      <c r="E17" s="33">
        <v>270.19</v>
      </c>
      <c r="F17" s="9" t="s">
        <v>220</v>
      </c>
      <c r="G17">
        <v>0</v>
      </c>
      <c r="H17">
        <v>271.08</v>
      </c>
      <c r="J17">
        <v>0</v>
      </c>
      <c r="K17" s="33">
        <v>271.14</v>
      </c>
      <c r="L17" s="9" t="s">
        <v>220</v>
      </c>
    </row>
    <row r="18" spans="1:12" ht="14" thickBot="1">
      <c r="A18" s="7">
        <v>0.4</v>
      </c>
      <c r="B18" s="7">
        <v>245.93</v>
      </c>
      <c r="D18" s="7">
        <v>0.2</v>
      </c>
      <c r="E18" s="7">
        <v>252.24</v>
      </c>
      <c r="G18" s="7">
        <v>0.2</v>
      </c>
      <c r="H18" s="7">
        <v>257.11</v>
      </c>
      <c r="J18" s="7">
        <v>0.2</v>
      </c>
      <c r="K18" s="7">
        <v>255.12</v>
      </c>
    </row>
    <row r="19" spans="1:12" ht="14" thickBot="1">
      <c r="A19" s="7">
        <v>0.6</v>
      </c>
      <c r="B19" s="7">
        <v>228.95</v>
      </c>
      <c r="D19" s="7">
        <v>0.4</v>
      </c>
      <c r="E19" s="7">
        <v>237.01</v>
      </c>
      <c r="G19" s="7">
        <v>0.4</v>
      </c>
      <c r="H19" s="7">
        <v>241.73</v>
      </c>
      <c r="J19" s="7">
        <v>0.4</v>
      </c>
      <c r="K19" s="7">
        <v>241.55666669999999</v>
      </c>
    </row>
    <row r="20" spans="1:12" ht="14" thickBot="1">
      <c r="A20" s="7">
        <v>0.8</v>
      </c>
      <c r="B20" s="7">
        <v>210.01</v>
      </c>
      <c r="D20" s="7">
        <v>0.6</v>
      </c>
      <c r="E20" s="7">
        <v>220.62</v>
      </c>
      <c r="G20" s="7">
        <v>0.6</v>
      </c>
      <c r="H20" s="7">
        <v>222.58</v>
      </c>
      <c r="J20" s="7">
        <v>0.6</v>
      </c>
      <c r="K20" s="7">
        <v>224.05</v>
      </c>
    </row>
    <row r="21" spans="1:12" ht="14" thickBot="1">
      <c r="A21" s="7">
        <v>1</v>
      </c>
      <c r="B21" s="7">
        <v>196.77</v>
      </c>
      <c r="D21" s="7">
        <v>0.8</v>
      </c>
      <c r="E21" s="7">
        <v>202.88</v>
      </c>
      <c r="G21" s="7">
        <v>0.8</v>
      </c>
      <c r="H21" s="7">
        <v>210.4</v>
      </c>
      <c r="J21" s="7">
        <v>0.8</v>
      </c>
      <c r="K21" s="7">
        <v>207.7633333</v>
      </c>
    </row>
    <row r="22" spans="1:12" ht="14" thickBot="1">
      <c r="A22" s="7">
        <v>1.2</v>
      </c>
      <c r="B22" s="7">
        <v>181.57</v>
      </c>
      <c r="D22" s="7">
        <v>1</v>
      </c>
      <c r="E22" s="7">
        <v>188.86</v>
      </c>
      <c r="G22" s="7">
        <v>1</v>
      </c>
      <c r="H22" s="7">
        <v>195.9</v>
      </c>
      <c r="J22" s="7">
        <v>1</v>
      </c>
      <c r="K22" s="7">
        <v>193.84333330000001</v>
      </c>
    </row>
    <row r="23" spans="1:12" ht="14" thickBot="1">
      <c r="A23" s="7">
        <v>1.4</v>
      </c>
      <c r="B23" s="7">
        <v>169.32</v>
      </c>
      <c r="D23" s="7">
        <v>1.2</v>
      </c>
      <c r="E23" s="7">
        <v>175.43</v>
      </c>
      <c r="G23" s="7">
        <v>1.2</v>
      </c>
      <c r="H23" s="7">
        <v>186</v>
      </c>
      <c r="J23" s="7">
        <v>1.2</v>
      </c>
      <c r="K23" s="7">
        <v>181</v>
      </c>
    </row>
    <row r="24" spans="1:12" ht="14" thickBot="1">
      <c r="A24" s="7">
        <v>1.5</v>
      </c>
      <c r="B24" s="7">
        <v>160.01</v>
      </c>
      <c r="D24" s="7">
        <v>1.4</v>
      </c>
      <c r="E24" s="7">
        <v>161.96</v>
      </c>
      <c r="G24" s="7">
        <v>1.4</v>
      </c>
      <c r="H24" s="7">
        <v>172.13</v>
      </c>
      <c r="J24" s="7">
        <v>1.4</v>
      </c>
      <c r="K24" s="7">
        <v>167.80333329999999</v>
      </c>
    </row>
    <row r="25" spans="1:12" ht="14" thickBot="1">
      <c r="A25" s="7">
        <v>1.6</v>
      </c>
      <c r="B25" s="32">
        <v>147.69999999999999</v>
      </c>
      <c r="C25" s="9" t="s">
        <v>365</v>
      </c>
      <c r="D25" s="7">
        <v>1.5</v>
      </c>
      <c r="E25" s="7">
        <v>156.87</v>
      </c>
      <c r="G25" s="7">
        <v>1.5</v>
      </c>
      <c r="H25" s="7">
        <v>161.33000000000001</v>
      </c>
      <c r="J25" s="7">
        <v>1.5</v>
      </c>
      <c r="K25" s="7">
        <v>157.0466667</v>
      </c>
    </row>
    <row r="26" spans="1:12" ht="14" thickBot="1">
      <c r="A26" s="7">
        <v>1.8</v>
      </c>
      <c r="B26" s="32">
        <v>139.94</v>
      </c>
      <c r="C26" s="9" t="s">
        <v>366</v>
      </c>
      <c r="D26" s="7">
        <v>1.6</v>
      </c>
      <c r="E26" s="32">
        <v>149.49</v>
      </c>
      <c r="F26" s="9" t="s">
        <v>365</v>
      </c>
      <c r="G26" s="7">
        <v>1.6</v>
      </c>
      <c r="H26" s="32">
        <v>154.26</v>
      </c>
      <c r="I26" s="9" t="s">
        <v>365</v>
      </c>
      <c r="J26" s="7">
        <v>1.6</v>
      </c>
      <c r="K26" s="32">
        <v>152.84</v>
      </c>
      <c r="L26" s="9" t="s">
        <v>365</v>
      </c>
    </row>
    <row r="27" spans="1:12" ht="14" thickBot="1">
      <c r="A27" s="7">
        <v>2</v>
      </c>
      <c r="B27" s="7">
        <v>131.78</v>
      </c>
      <c r="D27" s="7">
        <v>1.8</v>
      </c>
      <c r="E27" s="32">
        <v>143.66</v>
      </c>
      <c r="F27" s="9" t="s">
        <v>366</v>
      </c>
      <c r="G27" s="7">
        <v>1.8</v>
      </c>
      <c r="H27" s="32">
        <v>145.06</v>
      </c>
      <c r="I27" s="9" t="s">
        <v>366</v>
      </c>
      <c r="J27" s="7">
        <v>1.8</v>
      </c>
      <c r="K27" s="32">
        <v>142.88666670000001</v>
      </c>
      <c r="L27" s="9" t="s">
        <v>366</v>
      </c>
    </row>
    <row r="28" spans="1:12" ht="14" thickBot="1">
      <c r="D28" s="7">
        <v>2</v>
      </c>
      <c r="E28" s="7">
        <v>135.30000000000001</v>
      </c>
      <c r="G28" s="7">
        <v>2</v>
      </c>
      <c r="H28" s="7">
        <v>129.94</v>
      </c>
      <c r="J28" s="7">
        <v>2</v>
      </c>
      <c r="K28" s="7">
        <v>132.34</v>
      </c>
    </row>
    <row r="29" spans="1:12" ht="14" thickBot="1">
      <c r="A29" s="9" t="s">
        <v>367</v>
      </c>
      <c r="C29" s="33">
        <f>AVERAGE(B25:B26)</f>
        <v>143.82</v>
      </c>
      <c r="D29" s="7">
        <v>2.2000000000000002</v>
      </c>
      <c r="E29" s="7">
        <v>126.54</v>
      </c>
      <c r="J29" s="7">
        <v>2.2000000000000002</v>
      </c>
      <c r="K29" s="7">
        <v>126.54</v>
      </c>
    </row>
    <row r="30" spans="1:12" ht="14" thickBot="1">
      <c r="D30" s="7">
        <v>2.4</v>
      </c>
      <c r="E30" s="7">
        <v>119.81</v>
      </c>
      <c r="G30" s="9" t="s">
        <v>367</v>
      </c>
      <c r="I30" s="33">
        <f>AVERAGE(H26:H27)</f>
        <v>149.66</v>
      </c>
      <c r="J30" s="7">
        <v>2.4</v>
      </c>
      <c r="K30" s="7">
        <v>119.81</v>
      </c>
    </row>
    <row r="31" spans="1:12" ht="14" thickBot="1">
      <c r="D31" s="7">
        <v>2.6</v>
      </c>
      <c r="E31" s="7">
        <v>111.23</v>
      </c>
      <c r="J31" s="7">
        <v>2.6</v>
      </c>
      <c r="K31" s="7">
        <v>111.23</v>
      </c>
    </row>
    <row r="32" spans="1:12" ht="14" thickBot="1">
      <c r="D32" s="7">
        <v>2.8</v>
      </c>
      <c r="E32" s="7">
        <v>104.12</v>
      </c>
      <c r="J32" s="7">
        <v>2.8</v>
      </c>
      <c r="K32" s="7">
        <v>104.12</v>
      </c>
    </row>
    <row r="33" spans="4:12" ht="14" thickBot="1">
      <c r="D33" s="7">
        <v>3</v>
      </c>
      <c r="E33" s="7">
        <v>97.01</v>
      </c>
      <c r="J33" s="7">
        <v>3</v>
      </c>
      <c r="K33" s="7">
        <v>97.01</v>
      </c>
    </row>
    <row r="34" spans="4:12">
      <c r="J34" s="9" t="s">
        <v>367</v>
      </c>
      <c r="L34" s="33">
        <f>AVERAGE(K26:K27)</f>
        <v>147.86333335</v>
      </c>
    </row>
    <row r="35" spans="4:12">
      <c r="D35" s="9" t="s">
        <v>367</v>
      </c>
      <c r="F35" s="33">
        <f>AVERAGE(E26:E27)</f>
        <v>146.57499999999999</v>
      </c>
      <c r="J35" s="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0A5A-587E-4789-A10B-C0051AA2F469}">
  <dimension ref="A1:D34"/>
  <sheetViews>
    <sheetView workbookViewId="0">
      <selection activeCell="D35" sqref="D35"/>
    </sheetView>
  </sheetViews>
  <sheetFormatPr baseColWidth="10" defaultColWidth="8.83203125" defaultRowHeight="13"/>
  <sheetData>
    <row r="1" spans="1:3" ht="57" thickBot="1">
      <c r="A1" s="8" t="s">
        <v>359</v>
      </c>
      <c r="B1" s="8" t="s">
        <v>358</v>
      </c>
    </row>
    <row r="2" spans="1:3" ht="14" thickBot="1">
      <c r="A2" s="7">
        <v>-7.62</v>
      </c>
      <c r="B2" s="7">
        <v>102.95</v>
      </c>
    </row>
    <row r="3" spans="1:3" ht="14" thickBot="1">
      <c r="A3" s="7">
        <v>-7.1120000000000001</v>
      </c>
      <c r="B3" s="7">
        <v>126.84</v>
      </c>
    </row>
    <row r="4" spans="1:3" ht="14" thickBot="1">
      <c r="A4" s="7">
        <v>-6.6040000000000001</v>
      </c>
      <c r="B4" s="7">
        <v>148.27000000000001</v>
      </c>
    </row>
    <row r="5" spans="1:3" ht="14" thickBot="1">
      <c r="A5" s="24">
        <v>-6.0960000000000001</v>
      </c>
      <c r="B5" s="7">
        <v>184.74</v>
      </c>
    </row>
    <row r="6" spans="1:3" ht="14" thickBot="1">
      <c r="A6" s="7">
        <v>-5.5880000000000001</v>
      </c>
      <c r="B6" s="7">
        <v>221.78</v>
      </c>
    </row>
    <row r="7" spans="1:3" ht="14" thickBot="1">
      <c r="A7" s="7">
        <v>-5.08</v>
      </c>
      <c r="B7" s="7">
        <v>265.63</v>
      </c>
    </row>
    <row r="8" spans="1:3" ht="14" thickBot="1">
      <c r="A8" s="7">
        <v>-4.5720000000000001</v>
      </c>
      <c r="B8" s="7">
        <v>307.33999999999997</v>
      </c>
    </row>
    <row r="9" spans="1:3" ht="14" thickBot="1">
      <c r="A9" s="7">
        <v>-4.0640000000000001</v>
      </c>
      <c r="B9" s="7">
        <v>352.26</v>
      </c>
    </row>
    <row r="10" spans="1:3" ht="14" thickBot="1">
      <c r="A10" s="7">
        <v>-3.556</v>
      </c>
      <c r="B10" s="7">
        <v>386.08</v>
      </c>
    </row>
    <row r="11" spans="1:3" ht="14" thickBot="1">
      <c r="A11" s="7">
        <v>-3.048</v>
      </c>
      <c r="B11" s="7">
        <v>416.4</v>
      </c>
    </row>
    <row r="12" spans="1:3" ht="14" thickBot="1">
      <c r="A12" s="7">
        <v>-2.54</v>
      </c>
      <c r="B12" s="32">
        <v>423.35</v>
      </c>
      <c r="C12" s="9" t="s">
        <v>364</v>
      </c>
    </row>
    <row r="13" spans="1:3" ht="14" thickBot="1">
      <c r="A13" s="7">
        <v>-2.032</v>
      </c>
      <c r="B13" s="7">
        <v>412.88</v>
      </c>
    </row>
    <row r="14" spans="1:3" ht="14" thickBot="1">
      <c r="A14" s="7">
        <v>-1.524</v>
      </c>
      <c r="B14" s="7">
        <v>394.23</v>
      </c>
    </row>
    <row r="15" spans="1:3" ht="14" thickBot="1">
      <c r="A15" s="7">
        <v>-1.016</v>
      </c>
      <c r="B15" s="7">
        <v>358.15</v>
      </c>
    </row>
    <row r="16" spans="1:3" ht="14" thickBot="1">
      <c r="A16" s="7">
        <v>-0.50800000000000001</v>
      </c>
      <c r="B16" s="7">
        <v>313.08999999999997</v>
      </c>
    </row>
    <row r="17" spans="1:3" ht="14" thickBot="1">
      <c r="A17" s="7">
        <v>0</v>
      </c>
      <c r="B17" s="7">
        <v>270.19</v>
      </c>
      <c r="C17" s="9" t="s">
        <v>368</v>
      </c>
    </row>
    <row r="18" spans="1:3" ht="14" thickBot="1">
      <c r="A18" s="7">
        <v>0.2</v>
      </c>
      <c r="B18" s="7">
        <v>252.24</v>
      </c>
    </row>
    <row r="19" spans="1:3" ht="14" thickBot="1">
      <c r="A19" s="7">
        <v>0.4</v>
      </c>
      <c r="B19" s="7">
        <v>237.01</v>
      </c>
    </row>
    <row r="20" spans="1:3" ht="14" thickBot="1">
      <c r="A20" s="7">
        <v>0.6</v>
      </c>
      <c r="B20" s="7">
        <v>220.62</v>
      </c>
    </row>
    <row r="21" spans="1:3" ht="14" thickBot="1">
      <c r="A21" s="7">
        <v>0.8</v>
      </c>
      <c r="B21" s="7">
        <v>202.88</v>
      </c>
    </row>
    <row r="22" spans="1:3" ht="14" thickBot="1">
      <c r="A22" s="7">
        <v>1</v>
      </c>
      <c r="B22" s="7">
        <v>188.86</v>
      </c>
    </row>
    <row r="23" spans="1:3" ht="14" thickBot="1">
      <c r="A23" s="7">
        <v>1.2</v>
      </c>
      <c r="B23" s="7">
        <v>175.43</v>
      </c>
    </row>
    <row r="24" spans="1:3" ht="14" thickBot="1">
      <c r="A24" s="7">
        <v>1.4</v>
      </c>
      <c r="B24" s="7">
        <v>161.96</v>
      </c>
    </row>
    <row r="25" spans="1:3" ht="14" thickBot="1">
      <c r="A25" s="7">
        <v>1.6</v>
      </c>
      <c r="B25" s="7">
        <v>156.87</v>
      </c>
      <c r="C25" s="9" t="s">
        <v>369</v>
      </c>
    </row>
    <row r="26" spans="1:3" ht="14" thickBot="1">
      <c r="A26" s="7">
        <v>1.8</v>
      </c>
      <c r="B26" s="7">
        <v>149.49</v>
      </c>
    </row>
    <row r="27" spans="1:3" ht="14" thickBot="1">
      <c r="A27" s="7">
        <v>2</v>
      </c>
      <c r="B27" s="7">
        <v>143.66</v>
      </c>
    </row>
    <row r="28" spans="1:3" ht="14" thickBot="1">
      <c r="A28" s="7">
        <v>2.2000000000000002</v>
      </c>
      <c r="B28" s="7">
        <v>126.54</v>
      </c>
    </row>
    <row r="29" spans="1:3" ht="14" thickBot="1">
      <c r="A29" s="7">
        <v>2.4</v>
      </c>
      <c r="B29" s="7">
        <v>119.81</v>
      </c>
    </row>
    <row r="30" spans="1:3" ht="14" thickBot="1">
      <c r="A30" s="7">
        <v>2.6</v>
      </c>
      <c r="B30" s="7">
        <v>111.23</v>
      </c>
    </row>
    <row r="31" spans="1:3" ht="14" thickBot="1">
      <c r="A31" s="7">
        <v>2.8</v>
      </c>
      <c r="B31" s="7">
        <v>104.12</v>
      </c>
    </row>
    <row r="32" spans="1:3" ht="14" thickBot="1">
      <c r="A32" s="7">
        <v>3</v>
      </c>
      <c r="B32" s="7">
        <v>97.01</v>
      </c>
    </row>
    <row r="34" spans="1:4">
      <c r="A34" s="9" t="s">
        <v>370</v>
      </c>
      <c r="D34">
        <f>AVERAGE(B25:B26)</f>
        <v>153.18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F5B4-9E71-4D4C-AC8E-6A759DDEB51D}">
  <dimension ref="A1:E47"/>
  <sheetViews>
    <sheetView workbookViewId="0">
      <selection activeCell="E47" sqref="E47"/>
    </sheetView>
  </sheetViews>
  <sheetFormatPr baseColWidth="10" defaultColWidth="8.83203125" defaultRowHeight="13"/>
  <sheetData>
    <row r="1" spans="1:3" ht="14" thickBot="1"/>
    <row r="2" spans="1:3" ht="57" thickBot="1">
      <c r="A2" s="8" t="s">
        <v>371</v>
      </c>
      <c r="B2" s="18" t="s">
        <v>372</v>
      </c>
    </row>
    <row r="3" spans="1:3" ht="14" thickBot="1">
      <c r="A3" s="7">
        <v>-5.4</v>
      </c>
      <c r="B3" s="7">
        <v>262.27</v>
      </c>
    </row>
    <row r="4" spans="1:3" ht="14" thickBot="1">
      <c r="A4" s="7">
        <v>-5.2</v>
      </c>
      <c r="B4" s="7">
        <v>279.12</v>
      </c>
    </row>
    <row r="5" spans="1:3" ht="14" thickBot="1">
      <c r="A5" s="7">
        <v>-5</v>
      </c>
      <c r="B5" s="7">
        <v>293.04000000000002</v>
      </c>
    </row>
    <row r="6" spans="1:3" ht="14" thickBot="1">
      <c r="A6" s="7">
        <v>-4.8</v>
      </c>
      <c r="B6" s="7">
        <v>308.41000000000003</v>
      </c>
    </row>
    <row r="7" spans="1:3" ht="14" thickBot="1">
      <c r="A7" s="7">
        <v>-4.5999999999999996</v>
      </c>
      <c r="B7" s="7">
        <v>330.52</v>
      </c>
    </row>
    <row r="8" spans="1:3" ht="14" thickBot="1">
      <c r="A8" s="7">
        <v>-4.4000000000000004</v>
      </c>
      <c r="B8" s="7">
        <v>353.36</v>
      </c>
    </row>
    <row r="9" spans="1:3" ht="14" thickBot="1">
      <c r="A9" s="7">
        <v>-4.2</v>
      </c>
      <c r="B9" s="7">
        <v>364.52</v>
      </c>
    </row>
    <row r="10" spans="1:3" ht="14" thickBot="1">
      <c r="A10" s="7">
        <v>-4</v>
      </c>
      <c r="B10" s="7">
        <v>374</v>
      </c>
    </row>
    <row r="11" spans="1:3" ht="14" thickBot="1">
      <c r="A11" s="7">
        <v>-3.8</v>
      </c>
      <c r="B11" s="7">
        <v>385.79</v>
      </c>
    </row>
    <row r="12" spans="1:3" ht="14" thickBot="1">
      <c r="A12" s="7">
        <v>-3.6</v>
      </c>
      <c r="B12" s="7">
        <v>399.37</v>
      </c>
    </row>
    <row r="13" spans="1:3" ht="14" thickBot="1">
      <c r="A13" s="7">
        <v>-3.4</v>
      </c>
      <c r="B13" s="7">
        <v>406.53</v>
      </c>
    </row>
    <row r="14" spans="1:3" ht="14" thickBot="1">
      <c r="A14" s="7">
        <v>-3.2</v>
      </c>
      <c r="B14" s="7">
        <v>412.55</v>
      </c>
    </row>
    <row r="15" spans="1:3" ht="14" thickBot="1">
      <c r="A15" s="7">
        <v>-3</v>
      </c>
      <c r="B15" s="7">
        <v>417.3</v>
      </c>
    </row>
    <row r="16" spans="1:3" ht="14" thickBot="1">
      <c r="A16" s="7">
        <v>-2.8</v>
      </c>
      <c r="B16" s="32">
        <v>418.09</v>
      </c>
      <c r="C16" s="9" t="s">
        <v>373</v>
      </c>
    </row>
    <row r="17" spans="1:3" ht="14" thickBot="1">
      <c r="A17" s="7">
        <v>-2.6</v>
      </c>
      <c r="B17" s="7">
        <v>415.17</v>
      </c>
    </row>
    <row r="18" spans="1:3" ht="14" thickBot="1">
      <c r="A18" s="7">
        <v>-2.4</v>
      </c>
      <c r="B18" s="7">
        <v>415.66</v>
      </c>
    </row>
    <row r="19" spans="1:3" ht="14" thickBot="1">
      <c r="A19" s="7">
        <v>-2.2000000000000002</v>
      </c>
      <c r="B19" s="7">
        <v>414.67</v>
      </c>
    </row>
    <row r="20" spans="1:3" ht="14" thickBot="1">
      <c r="A20" s="7">
        <v>-2</v>
      </c>
      <c r="B20" s="7">
        <v>413.83</v>
      </c>
    </row>
    <row r="21" spans="1:3" ht="14" thickBot="1">
      <c r="A21" s="7">
        <v>-1.8</v>
      </c>
      <c r="B21" s="7">
        <v>405.19</v>
      </c>
    </row>
    <row r="22" spans="1:3" ht="14" thickBot="1">
      <c r="A22" s="7">
        <v>-1.6</v>
      </c>
      <c r="B22" s="7">
        <v>395.16</v>
      </c>
    </row>
    <row r="23" spans="1:3" ht="14" thickBot="1">
      <c r="A23" s="7">
        <v>-1.4</v>
      </c>
      <c r="B23" s="7">
        <v>370.83</v>
      </c>
    </row>
    <row r="24" spans="1:3" ht="14" thickBot="1">
      <c r="A24" s="7">
        <v>-1.2</v>
      </c>
      <c r="B24" s="7">
        <v>358.34</v>
      </c>
    </row>
    <row r="25" spans="1:3" ht="14" thickBot="1">
      <c r="A25" s="7">
        <v>-1</v>
      </c>
      <c r="B25" s="7">
        <v>344.8</v>
      </c>
    </row>
    <row r="26" spans="1:3" ht="14" thickBot="1">
      <c r="A26" s="7">
        <v>-0.8</v>
      </c>
      <c r="B26" s="7">
        <v>333.25</v>
      </c>
    </row>
    <row r="27" spans="1:3" ht="14" thickBot="1">
      <c r="A27" s="7">
        <v>-0.6</v>
      </c>
      <c r="B27" s="7">
        <v>328.16</v>
      </c>
    </row>
    <row r="28" spans="1:3" ht="14" thickBot="1">
      <c r="A28" s="7">
        <v>-0.4</v>
      </c>
      <c r="B28" s="7">
        <v>311.25</v>
      </c>
    </row>
    <row r="29" spans="1:3" ht="14" thickBot="1">
      <c r="A29" s="7">
        <v>-0.2</v>
      </c>
      <c r="B29" s="7">
        <v>283.74</v>
      </c>
    </row>
    <row r="30" spans="1:3" ht="14" thickBot="1">
      <c r="A30" s="7">
        <v>0</v>
      </c>
      <c r="B30" s="32">
        <v>266.08999999999997</v>
      </c>
      <c r="C30" s="9" t="s">
        <v>368</v>
      </c>
    </row>
    <row r="31" spans="1:3" ht="14" thickBot="1">
      <c r="A31" s="7">
        <v>0.2</v>
      </c>
      <c r="B31" s="7">
        <v>253.79</v>
      </c>
    </row>
    <row r="32" spans="1:3" ht="14" thickBot="1">
      <c r="A32" s="7">
        <v>0.4</v>
      </c>
      <c r="B32" s="7">
        <v>242.76</v>
      </c>
    </row>
    <row r="33" spans="1:5" ht="14" thickBot="1">
      <c r="A33" s="7">
        <v>0.6</v>
      </c>
      <c r="B33" s="7">
        <v>214.4</v>
      </c>
    </row>
    <row r="34" spans="1:5" ht="14" thickBot="1">
      <c r="A34" s="7">
        <v>0.8</v>
      </c>
      <c r="B34" s="7">
        <v>193.09</v>
      </c>
    </row>
    <row r="35" spans="1:5" ht="14" thickBot="1">
      <c r="A35" s="7">
        <v>1</v>
      </c>
      <c r="B35" s="7">
        <v>185.6</v>
      </c>
    </row>
    <row r="36" spans="1:5" ht="14" thickBot="1">
      <c r="A36" s="7">
        <v>1.2</v>
      </c>
      <c r="B36" s="7">
        <v>120.25</v>
      </c>
    </row>
    <row r="37" spans="1:5" ht="14" thickBot="1">
      <c r="A37" s="7">
        <v>1.4</v>
      </c>
      <c r="B37" s="7">
        <v>160.37</v>
      </c>
    </row>
    <row r="38" spans="1:5" ht="14" thickBot="1">
      <c r="A38" s="7">
        <v>1.6</v>
      </c>
      <c r="B38" s="32">
        <v>148.03</v>
      </c>
      <c r="C38" s="9" t="s">
        <v>369</v>
      </c>
    </row>
    <row r="39" spans="1:5" ht="14" thickBot="1">
      <c r="A39" s="7">
        <v>1.8</v>
      </c>
      <c r="B39" s="32">
        <v>136.80000000000001</v>
      </c>
    </row>
    <row r="40" spans="1:5" ht="14" thickBot="1">
      <c r="A40" s="7">
        <v>2</v>
      </c>
      <c r="B40" s="7">
        <v>128.41999999999999</v>
      </c>
    </row>
    <row r="41" spans="1:5" ht="14" thickBot="1">
      <c r="A41" s="7">
        <v>2.2000000000000002</v>
      </c>
      <c r="B41" s="7">
        <v>119.84</v>
      </c>
    </row>
    <row r="42" spans="1:5" ht="14" thickBot="1">
      <c r="A42" s="7">
        <v>2.4</v>
      </c>
      <c r="B42" s="7">
        <v>102.52</v>
      </c>
    </row>
    <row r="43" spans="1:5" ht="14" thickBot="1">
      <c r="A43" s="7">
        <v>2.6</v>
      </c>
      <c r="B43" s="7">
        <v>100.05</v>
      </c>
    </row>
    <row r="44" spans="1:5" ht="14" thickBot="1">
      <c r="A44" s="7">
        <v>2.8</v>
      </c>
      <c r="B44" s="7">
        <v>90.83</v>
      </c>
    </row>
    <row r="45" spans="1:5" ht="14" thickBot="1">
      <c r="A45" s="7">
        <v>3</v>
      </c>
      <c r="B45" s="7">
        <v>88.07</v>
      </c>
    </row>
    <row r="47" spans="1:5">
      <c r="A47" s="9" t="s">
        <v>374</v>
      </c>
      <c r="E47">
        <f>AVERAGE(B38:B39)</f>
        <v>142.41500000000002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A9DF-FB2A-473A-AA44-80CC911BC685}">
  <dimension ref="A2:E26"/>
  <sheetViews>
    <sheetView workbookViewId="0">
      <selection activeCell="F14" sqref="F14"/>
    </sheetView>
  </sheetViews>
  <sheetFormatPr baseColWidth="10" defaultColWidth="8.83203125" defaultRowHeight="13"/>
  <sheetData>
    <row r="2" spans="1:5" ht="14" thickBot="1"/>
    <row r="3" spans="1:5" ht="43" thickBot="1">
      <c r="A3" s="8" t="s">
        <v>375</v>
      </c>
      <c r="B3" s="8" t="s">
        <v>376</v>
      </c>
      <c r="D3" s="8" t="s">
        <v>377</v>
      </c>
      <c r="E3" s="7" t="s">
        <v>378</v>
      </c>
    </row>
    <row r="4" spans="1:5" ht="29" thickBot="1">
      <c r="A4" s="27">
        <v>-2</v>
      </c>
      <c r="B4" s="32">
        <v>409.7</v>
      </c>
      <c r="C4" s="33" t="s">
        <v>364</v>
      </c>
      <c r="D4" s="8" t="s">
        <v>379</v>
      </c>
      <c r="E4" s="18" t="s">
        <v>380</v>
      </c>
    </row>
    <row r="5" spans="1:5" ht="14" thickBot="1">
      <c r="A5" s="7">
        <v>-1.8</v>
      </c>
      <c r="B5" s="7">
        <v>406.42</v>
      </c>
    </row>
    <row r="6" spans="1:5" ht="14" thickBot="1">
      <c r="A6" s="7">
        <v>-1.6</v>
      </c>
      <c r="B6" s="7">
        <v>399.74</v>
      </c>
    </row>
    <row r="7" spans="1:5" ht="14" thickBot="1">
      <c r="A7" s="7">
        <v>-1.4</v>
      </c>
      <c r="B7" s="7">
        <v>386.3</v>
      </c>
    </row>
    <row r="8" spans="1:5" ht="14" thickBot="1">
      <c r="A8" s="7">
        <v>-1.2</v>
      </c>
      <c r="B8" s="7">
        <v>379.91</v>
      </c>
    </row>
    <row r="9" spans="1:5" ht="14" thickBot="1">
      <c r="A9" s="7">
        <v>-1</v>
      </c>
      <c r="B9" s="7">
        <v>365.83</v>
      </c>
    </row>
    <row r="10" spans="1:5" ht="14" thickBot="1">
      <c r="A10" s="7">
        <v>-0.8</v>
      </c>
      <c r="B10" s="7">
        <v>344.19</v>
      </c>
    </row>
    <row r="11" spans="1:5" ht="14" thickBot="1">
      <c r="A11" s="7">
        <v>-0.6</v>
      </c>
      <c r="B11" s="7">
        <v>323.58999999999997</v>
      </c>
    </row>
    <row r="12" spans="1:5" ht="14" thickBot="1">
      <c r="A12" s="7">
        <v>-0.4</v>
      </c>
      <c r="B12" s="7">
        <v>315.54000000000002</v>
      </c>
    </row>
    <row r="13" spans="1:5" ht="14" thickBot="1">
      <c r="A13" s="7">
        <v>-0.2</v>
      </c>
      <c r="B13" s="7">
        <v>301.5</v>
      </c>
    </row>
    <row r="14" spans="1:5" ht="14" thickBot="1">
      <c r="A14" s="7">
        <v>0</v>
      </c>
      <c r="B14" s="32">
        <v>291.13</v>
      </c>
      <c r="C14" s="9" t="s">
        <v>368</v>
      </c>
    </row>
    <row r="15" spans="1:5" ht="14" thickBot="1">
      <c r="A15" s="7">
        <v>0.2</v>
      </c>
      <c r="B15" s="7">
        <v>266.08</v>
      </c>
    </row>
    <row r="16" spans="1:5" ht="14" thickBot="1">
      <c r="A16" s="7">
        <v>0.4</v>
      </c>
      <c r="B16" s="7">
        <v>251.63</v>
      </c>
    </row>
    <row r="17" spans="1:4" ht="14" thickBot="1">
      <c r="A17" s="7">
        <v>0.6</v>
      </c>
      <c r="B17" s="7">
        <v>246.73</v>
      </c>
    </row>
    <row r="18" spans="1:4" ht="14" thickBot="1">
      <c r="A18" s="7">
        <v>0.8</v>
      </c>
      <c r="B18" s="7">
        <v>229.34</v>
      </c>
    </row>
    <row r="19" spans="1:4" ht="14" thickBot="1">
      <c r="A19" s="7">
        <v>1</v>
      </c>
      <c r="B19" s="7">
        <v>208.09</v>
      </c>
    </row>
    <row r="20" spans="1:4" ht="14" thickBot="1">
      <c r="A20" s="7">
        <v>1.2</v>
      </c>
      <c r="B20" s="7">
        <v>184.71</v>
      </c>
    </row>
    <row r="21" spans="1:4" ht="14" thickBot="1">
      <c r="A21" s="7">
        <v>1.4</v>
      </c>
      <c r="B21" s="7">
        <v>164.92</v>
      </c>
    </row>
    <row r="22" spans="1:4" ht="14" thickBot="1">
      <c r="A22" s="7">
        <v>1.6</v>
      </c>
      <c r="B22" s="7">
        <v>146.9</v>
      </c>
    </row>
    <row r="23" spans="1:4" ht="14" thickBot="1">
      <c r="A23" s="7">
        <v>1.8</v>
      </c>
      <c r="B23" s="7">
        <v>136.47</v>
      </c>
    </row>
    <row r="24" spans="1:4" ht="14" thickBot="1">
      <c r="A24" s="7">
        <v>2</v>
      </c>
      <c r="B24" s="7">
        <v>118.81</v>
      </c>
    </row>
    <row r="26" spans="1:4">
      <c r="A26" s="9" t="s">
        <v>381</v>
      </c>
      <c r="D26">
        <f>AVERAGE(B22:B23)</f>
        <v>141.685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7AED-AC50-4FED-BDC4-32508E1C456B}">
  <dimension ref="A1:C43"/>
  <sheetViews>
    <sheetView workbookViewId="0">
      <selection sqref="A1:B1"/>
    </sheetView>
  </sheetViews>
  <sheetFormatPr baseColWidth="10" defaultColWidth="8.83203125" defaultRowHeight="13"/>
  <sheetData>
    <row r="1" spans="1:3" ht="43" thickBot="1">
      <c r="A1" s="8" t="s">
        <v>375</v>
      </c>
      <c r="B1" s="8" t="s">
        <v>376</v>
      </c>
    </row>
    <row r="2" spans="1:3" ht="14" thickBot="1">
      <c r="A2" s="7">
        <v>-2</v>
      </c>
      <c r="B2" s="32">
        <v>399.66</v>
      </c>
      <c r="C2" s="9" t="s">
        <v>364</v>
      </c>
    </row>
    <row r="3" spans="1:3" ht="14" thickBot="1">
      <c r="A3" s="7">
        <v>-1.5</v>
      </c>
      <c r="B3" s="7">
        <v>375.76</v>
      </c>
    </row>
    <row r="4" spans="1:3" ht="14" thickBot="1">
      <c r="A4" s="7">
        <v>-1</v>
      </c>
      <c r="B4" s="7">
        <v>342.24</v>
      </c>
    </row>
    <row r="5" spans="1:3" ht="14" thickBot="1">
      <c r="A5" s="7">
        <v>-0.5</v>
      </c>
      <c r="B5" s="7">
        <v>329.23</v>
      </c>
    </row>
    <row r="6" spans="1:3" ht="14" thickBot="1">
      <c r="A6" s="7">
        <v>0</v>
      </c>
      <c r="B6" s="32">
        <v>268.92</v>
      </c>
      <c r="C6" s="9" t="s">
        <v>368</v>
      </c>
    </row>
    <row r="7" spans="1:3" ht="14" thickBot="1">
      <c r="A7" s="7">
        <v>0.5</v>
      </c>
      <c r="B7" s="7">
        <v>230.48</v>
      </c>
    </row>
    <row r="8" spans="1:3" ht="14" thickBot="1">
      <c r="A8" s="7">
        <v>1</v>
      </c>
      <c r="B8" s="7">
        <v>191.93</v>
      </c>
    </row>
    <row r="9" spans="1:3" ht="14" thickBot="1">
      <c r="A9" s="7">
        <v>1.5</v>
      </c>
      <c r="B9" s="32">
        <v>158.65</v>
      </c>
      <c r="C9" s="9" t="s">
        <v>382</v>
      </c>
    </row>
    <row r="10" spans="1:3" ht="14" thickBot="1">
      <c r="A10" s="7">
        <v>2</v>
      </c>
      <c r="B10" s="7">
        <v>134.33000000000001</v>
      </c>
    </row>
    <row r="11" spans="1:3" ht="14" thickBot="1">
      <c r="A11" s="7">
        <v>2.5</v>
      </c>
      <c r="B11" s="7">
        <v>115.65</v>
      </c>
    </row>
    <row r="12" spans="1:3" ht="14" thickBot="1">
      <c r="A12" s="7">
        <v>3</v>
      </c>
      <c r="B12" s="7">
        <v>96.82</v>
      </c>
    </row>
    <row r="13" spans="1:3" ht="14" thickBot="1">
      <c r="A13" s="7">
        <v>3.5</v>
      </c>
      <c r="B13" s="7">
        <v>80.19</v>
      </c>
    </row>
    <row r="14" spans="1:3" ht="14" thickBot="1">
      <c r="A14" s="7">
        <v>4</v>
      </c>
      <c r="B14" s="7">
        <v>67.45</v>
      </c>
    </row>
    <row r="15" spans="1:3" ht="14" thickBot="1">
      <c r="A15" s="7">
        <v>4.5</v>
      </c>
      <c r="B15" s="7">
        <v>58.8</v>
      </c>
    </row>
    <row r="16" spans="1:3" ht="14" thickBot="1">
      <c r="A16" s="7">
        <v>5</v>
      </c>
      <c r="B16" s="7">
        <v>50.05</v>
      </c>
    </row>
    <row r="17" spans="1:2" ht="14" thickBot="1">
      <c r="A17" s="7">
        <v>5.5</v>
      </c>
      <c r="B17" s="7">
        <v>43.51</v>
      </c>
    </row>
    <row r="18" spans="1:2" ht="14" thickBot="1">
      <c r="A18" s="7">
        <v>6</v>
      </c>
      <c r="B18" s="7">
        <v>37.6</v>
      </c>
    </row>
    <row r="19" spans="1:2" ht="14" thickBot="1">
      <c r="A19" s="7">
        <v>6.5</v>
      </c>
      <c r="B19" s="7">
        <v>32.42</v>
      </c>
    </row>
    <row r="20" spans="1:2" ht="14" thickBot="1">
      <c r="A20" s="7">
        <v>7</v>
      </c>
      <c r="B20" s="7">
        <v>27.54</v>
      </c>
    </row>
    <row r="21" spans="1:2" ht="14" thickBot="1">
      <c r="A21" s="7">
        <v>7.5</v>
      </c>
      <c r="B21" s="7">
        <v>24.61</v>
      </c>
    </row>
    <row r="22" spans="1:2" ht="14" thickBot="1">
      <c r="A22" s="7">
        <v>8</v>
      </c>
      <c r="B22" s="7">
        <v>21.25</v>
      </c>
    </row>
    <row r="23" spans="1:2" ht="14" thickBot="1">
      <c r="A23" s="7">
        <v>8.5</v>
      </c>
      <c r="B23" s="7">
        <v>18.89</v>
      </c>
    </row>
    <row r="24" spans="1:2" ht="14" thickBot="1">
      <c r="A24" s="7">
        <v>9</v>
      </c>
      <c r="B24" s="7">
        <v>17.100000000000001</v>
      </c>
    </row>
    <row r="25" spans="1:2" ht="14" thickBot="1">
      <c r="A25" s="7">
        <v>9.5</v>
      </c>
      <c r="B25" s="7">
        <v>15.11</v>
      </c>
    </row>
    <row r="26" spans="1:2" ht="14" thickBot="1">
      <c r="A26" s="7">
        <v>10</v>
      </c>
      <c r="B26" s="7">
        <v>13.86</v>
      </c>
    </row>
    <row r="27" spans="1:2" ht="14" thickBot="1">
      <c r="A27" s="7">
        <v>10.5</v>
      </c>
      <c r="B27" s="7">
        <v>12.35</v>
      </c>
    </row>
    <row r="28" spans="1:2" ht="14" thickBot="1">
      <c r="A28" s="7">
        <v>11</v>
      </c>
      <c r="B28" s="7">
        <v>11.28</v>
      </c>
    </row>
    <row r="29" spans="1:2" ht="14" thickBot="1">
      <c r="A29" s="7">
        <v>11.5</v>
      </c>
      <c r="B29" s="7">
        <v>10.53</v>
      </c>
    </row>
    <row r="30" spans="1:2" ht="14" thickBot="1">
      <c r="A30" s="7">
        <v>12</v>
      </c>
      <c r="B30" s="7">
        <v>9.39</v>
      </c>
    </row>
    <row r="31" spans="1:2" ht="14" thickBot="1">
      <c r="A31" s="7">
        <v>12.5</v>
      </c>
      <c r="B31" s="7">
        <v>8.65</v>
      </c>
    </row>
    <row r="32" spans="1:2" ht="14" thickBot="1">
      <c r="A32" s="7">
        <v>13</v>
      </c>
      <c r="B32" s="7">
        <v>8.0299999999999994</v>
      </c>
    </row>
    <row r="33" spans="1:2" ht="14" thickBot="1">
      <c r="A33" s="7">
        <v>13.5</v>
      </c>
      <c r="B33" s="7">
        <v>7.15</v>
      </c>
    </row>
    <row r="34" spans="1:2" ht="14" thickBot="1">
      <c r="A34" s="7">
        <v>14</v>
      </c>
      <c r="B34" s="7">
        <v>6.73</v>
      </c>
    </row>
    <row r="35" spans="1:2" ht="14" thickBot="1">
      <c r="A35" s="7">
        <v>14.5</v>
      </c>
      <c r="B35" s="7">
        <v>6.22</v>
      </c>
    </row>
    <row r="36" spans="1:2" ht="14" thickBot="1">
      <c r="A36" s="7">
        <v>15</v>
      </c>
      <c r="B36" s="7">
        <v>5.73</v>
      </c>
    </row>
    <row r="37" spans="1:2" ht="14" thickBot="1">
      <c r="A37" s="7">
        <v>15.5</v>
      </c>
      <c r="B37" s="7">
        <v>5.2</v>
      </c>
    </row>
    <row r="38" spans="1:2" ht="14" thickBot="1">
      <c r="A38" s="7">
        <v>16</v>
      </c>
      <c r="B38" s="7">
        <v>4.93</v>
      </c>
    </row>
    <row r="39" spans="1:2" ht="14" thickBot="1">
      <c r="A39" s="7">
        <v>16.5</v>
      </c>
      <c r="B39" s="7">
        <v>4.51</v>
      </c>
    </row>
    <row r="40" spans="1:2" ht="14" thickBot="1">
      <c r="A40" s="7">
        <v>17</v>
      </c>
      <c r="B40" s="7">
        <v>4.3600000000000003</v>
      </c>
    </row>
    <row r="41" spans="1:2" ht="14" thickBot="1">
      <c r="A41" s="7">
        <v>17.5</v>
      </c>
      <c r="B41" s="7">
        <v>4.09</v>
      </c>
    </row>
    <row r="42" spans="1:2" ht="14" thickBot="1">
      <c r="A42" s="7">
        <v>18</v>
      </c>
      <c r="B42" s="7">
        <v>3.95</v>
      </c>
    </row>
    <row r="43" spans="1:2" ht="14" thickBot="1">
      <c r="A43" s="7">
        <v>18.5</v>
      </c>
      <c r="B43" s="7">
        <v>3.77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302B-00E0-4CA9-8C11-0A34B650C843}">
  <dimension ref="A1:C41"/>
  <sheetViews>
    <sheetView workbookViewId="0">
      <selection activeCell="B7" sqref="B7"/>
    </sheetView>
  </sheetViews>
  <sheetFormatPr baseColWidth="10" defaultColWidth="8.83203125" defaultRowHeight="13"/>
  <sheetData>
    <row r="1" spans="1:3" ht="43" thickBot="1">
      <c r="A1" s="8" t="s">
        <v>375</v>
      </c>
      <c r="B1" s="8" t="s">
        <v>376</v>
      </c>
    </row>
    <row r="2" spans="1:3" ht="14" thickBot="1">
      <c r="A2" s="7">
        <v>-2</v>
      </c>
      <c r="B2" s="32">
        <v>330.54</v>
      </c>
      <c r="C2" s="9" t="s">
        <v>364</v>
      </c>
    </row>
    <row r="3" spans="1:3" ht="14" thickBot="1">
      <c r="A3" s="7">
        <v>-1</v>
      </c>
      <c r="B3" s="7">
        <v>311.42</v>
      </c>
    </row>
    <row r="4" spans="1:3" ht="14" thickBot="1">
      <c r="A4" s="7">
        <v>0</v>
      </c>
      <c r="B4" s="32">
        <v>261.85000000000002</v>
      </c>
      <c r="C4" s="9" t="s">
        <v>368</v>
      </c>
    </row>
    <row r="5" spans="1:3" ht="14" thickBot="1">
      <c r="A5" s="7">
        <v>0.5</v>
      </c>
      <c r="B5" s="7">
        <v>235.38</v>
      </c>
    </row>
    <row r="6" spans="1:3" ht="14" thickBot="1">
      <c r="A6" s="7">
        <v>1</v>
      </c>
      <c r="B6" s="7">
        <v>192.27</v>
      </c>
    </row>
    <row r="7" spans="1:3" ht="14" thickBot="1">
      <c r="A7" s="7">
        <v>1.5</v>
      </c>
      <c r="B7" s="32">
        <v>153.66</v>
      </c>
      <c r="C7" s="9" t="s">
        <v>383</v>
      </c>
    </row>
    <row r="8" spans="1:3" ht="14" thickBot="1">
      <c r="A8" s="7">
        <v>2</v>
      </c>
      <c r="B8" s="7">
        <v>130.29</v>
      </c>
    </row>
    <row r="9" spans="1:3" ht="14" thickBot="1">
      <c r="A9" s="7">
        <v>2.5</v>
      </c>
      <c r="B9" s="7">
        <v>108.77</v>
      </c>
    </row>
    <row r="10" spans="1:3" ht="14" thickBot="1">
      <c r="A10" s="7">
        <v>3</v>
      </c>
      <c r="B10" s="7">
        <v>85.34</v>
      </c>
    </row>
    <row r="11" spans="1:3" ht="14" thickBot="1">
      <c r="A11" s="7">
        <v>3.5</v>
      </c>
      <c r="B11" s="7">
        <v>71.3</v>
      </c>
    </row>
    <row r="12" spans="1:3" ht="14" thickBot="1">
      <c r="A12" s="7">
        <v>4</v>
      </c>
      <c r="B12" s="7">
        <v>56.1</v>
      </c>
    </row>
    <row r="13" spans="1:3" ht="14" thickBot="1">
      <c r="A13" s="7">
        <v>4.5</v>
      </c>
      <c r="B13" s="7">
        <v>49.42</v>
      </c>
    </row>
    <row r="14" spans="1:3" ht="14" thickBot="1">
      <c r="A14" s="7">
        <v>5</v>
      </c>
      <c r="B14" s="7">
        <v>41.69</v>
      </c>
    </row>
    <row r="15" spans="1:3" ht="14" thickBot="1">
      <c r="A15" s="7">
        <v>5.5</v>
      </c>
      <c r="B15" s="7">
        <v>37.14</v>
      </c>
    </row>
    <row r="16" spans="1:3" ht="14" thickBot="1">
      <c r="A16" s="7">
        <v>6</v>
      </c>
      <c r="B16" s="7">
        <v>30.3</v>
      </c>
    </row>
    <row r="17" spans="1:2" ht="14" thickBot="1">
      <c r="A17" s="7">
        <v>6.5</v>
      </c>
      <c r="B17" s="7">
        <v>26.75</v>
      </c>
    </row>
    <row r="18" spans="1:2" ht="14" thickBot="1">
      <c r="A18" s="7">
        <v>7</v>
      </c>
      <c r="B18" s="7">
        <v>23.8</v>
      </c>
    </row>
    <row r="19" spans="1:2" ht="14" thickBot="1">
      <c r="A19" s="7">
        <v>7.5</v>
      </c>
      <c r="B19" s="7">
        <v>21.13</v>
      </c>
    </row>
    <row r="20" spans="1:2" ht="14" thickBot="1">
      <c r="A20" s="7">
        <v>8</v>
      </c>
      <c r="B20" s="7">
        <v>18.75</v>
      </c>
    </row>
    <row r="21" spans="1:2" ht="14" thickBot="1">
      <c r="A21" s="7">
        <v>8.5</v>
      </c>
      <c r="B21" s="7">
        <v>17.03</v>
      </c>
    </row>
    <row r="22" spans="1:2" ht="14" thickBot="1">
      <c r="A22" s="7">
        <v>9</v>
      </c>
      <c r="B22" s="7">
        <v>16.13</v>
      </c>
    </row>
    <row r="23" spans="1:2" ht="14" thickBot="1">
      <c r="A23" s="7">
        <v>9.5</v>
      </c>
      <c r="B23" s="7">
        <v>14.83</v>
      </c>
    </row>
    <row r="24" spans="1:2" ht="14" thickBot="1">
      <c r="A24" s="7">
        <v>10</v>
      </c>
      <c r="B24" s="7">
        <v>13.76</v>
      </c>
    </row>
    <row r="25" spans="1:2" ht="14" thickBot="1">
      <c r="A25" s="7">
        <v>10.5</v>
      </c>
      <c r="B25" s="7">
        <v>12.54</v>
      </c>
    </row>
    <row r="26" spans="1:2" ht="14" thickBot="1">
      <c r="A26" s="7">
        <v>11</v>
      </c>
      <c r="B26" s="7">
        <v>11.6</v>
      </c>
    </row>
    <row r="27" spans="1:2" ht="14" thickBot="1">
      <c r="A27" s="7">
        <v>11.5</v>
      </c>
      <c r="B27" s="7">
        <v>10.84</v>
      </c>
    </row>
    <row r="28" spans="1:2" ht="14" thickBot="1">
      <c r="A28" s="7">
        <v>12</v>
      </c>
      <c r="B28" s="7">
        <v>10.15</v>
      </c>
    </row>
    <row r="29" spans="1:2" ht="14" thickBot="1">
      <c r="A29" s="7">
        <v>12.5</v>
      </c>
      <c r="B29" s="7">
        <v>9.66</v>
      </c>
    </row>
    <row r="30" spans="1:2" ht="14" thickBot="1">
      <c r="A30" s="7">
        <v>13</v>
      </c>
      <c r="B30" s="7">
        <v>8.93</v>
      </c>
    </row>
    <row r="31" spans="1:2" ht="14" thickBot="1">
      <c r="A31" s="7">
        <v>13.5</v>
      </c>
      <c r="B31" s="7">
        <v>8.4</v>
      </c>
    </row>
    <row r="32" spans="1:2" ht="14" thickBot="1">
      <c r="A32" s="7">
        <v>14</v>
      </c>
      <c r="B32" s="7">
        <v>7.79</v>
      </c>
    </row>
    <row r="33" spans="1:2" ht="14" thickBot="1">
      <c r="A33" s="7">
        <v>14.5</v>
      </c>
      <c r="B33" s="7">
        <v>7.42</v>
      </c>
    </row>
    <row r="34" spans="1:2" ht="14" thickBot="1">
      <c r="A34" s="7">
        <v>15</v>
      </c>
      <c r="B34" s="7">
        <v>7.04</v>
      </c>
    </row>
    <row r="35" spans="1:2" ht="14" thickBot="1">
      <c r="A35" s="7">
        <v>15.5</v>
      </c>
      <c r="B35" s="7">
        <v>6.56</v>
      </c>
    </row>
    <row r="36" spans="1:2" ht="14" thickBot="1">
      <c r="A36" s="7">
        <v>16</v>
      </c>
      <c r="B36" s="7">
        <v>6.4</v>
      </c>
    </row>
    <row r="37" spans="1:2" ht="14" thickBot="1">
      <c r="A37" s="7">
        <v>16.5</v>
      </c>
      <c r="B37" s="7">
        <v>6.33</v>
      </c>
    </row>
    <row r="38" spans="1:2" ht="14" thickBot="1">
      <c r="A38" s="7">
        <v>17</v>
      </c>
      <c r="B38" s="7">
        <v>5.86</v>
      </c>
    </row>
    <row r="39" spans="1:2" ht="14" thickBot="1">
      <c r="A39" s="7">
        <v>17.5</v>
      </c>
      <c r="B39" s="7">
        <v>5.7</v>
      </c>
    </row>
    <row r="40" spans="1:2" ht="14" thickBot="1">
      <c r="A40" s="7">
        <v>18</v>
      </c>
      <c r="B40" s="7">
        <v>5.42</v>
      </c>
    </row>
    <row r="41" spans="1:2" ht="14" thickBot="1">
      <c r="A41" s="7">
        <v>18.5</v>
      </c>
      <c r="B41" s="7">
        <v>5.23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DC95-2D27-4E2B-BB00-CD283952F498}">
  <dimension ref="A1:E16"/>
  <sheetViews>
    <sheetView workbookViewId="0">
      <selection activeCell="F9" sqref="F9"/>
    </sheetView>
  </sheetViews>
  <sheetFormatPr baseColWidth="10" defaultColWidth="8.83203125" defaultRowHeight="13"/>
  <sheetData>
    <row r="1" spans="1:5" ht="49" thickBot="1">
      <c r="A1" s="38" t="s">
        <v>384</v>
      </c>
      <c r="B1" s="39" t="s">
        <v>385</v>
      </c>
      <c r="C1" s="39" t="s">
        <v>386</v>
      </c>
      <c r="D1" s="39" t="s">
        <v>387</v>
      </c>
      <c r="E1" s="40" t="s">
        <v>388</v>
      </c>
    </row>
    <row r="2" spans="1:5" ht="29" thickBot="1">
      <c r="A2" s="41" t="s">
        <v>130</v>
      </c>
      <c r="B2" s="34" t="s">
        <v>389</v>
      </c>
      <c r="C2" s="34" t="s">
        <v>390</v>
      </c>
      <c r="D2" s="34" t="s">
        <v>391</v>
      </c>
      <c r="E2" s="42" t="s">
        <v>134</v>
      </c>
    </row>
    <row r="3" spans="1:5" ht="29" thickBot="1">
      <c r="A3" s="41" t="s">
        <v>135</v>
      </c>
      <c r="B3" s="34" t="s">
        <v>392</v>
      </c>
      <c r="C3" s="34" t="s">
        <v>393</v>
      </c>
      <c r="D3" s="34" t="s">
        <v>394</v>
      </c>
      <c r="E3" s="42" t="s">
        <v>139</v>
      </c>
    </row>
    <row r="4" spans="1:5" ht="29" thickBot="1">
      <c r="A4" s="41" t="s">
        <v>140</v>
      </c>
      <c r="B4" s="34" t="s">
        <v>395</v>
      </c>
      <c r="C4" s="34" t="s">
        <v>396</v>
      </c>
      <c r="D4" s="34" t="s">
        <v>397</v>
      </c>
      <c r="E4" s="42" t="s">
        <v>144</v>
      </c>
    </row>
    <row r="5" spans="1:5" ht="29" thickBot="1">
      <c r="A5" s="41" t="s">
        <v>145</v>
      </c>
      <c r="B5" s="34" t="s">
        <v>398</v>
      </c>
      <c r="C5" s="34" t="s">
        <v>399</v>
      </c>
      <c r="D5" s="34" t="s">
        <v>400</v>
      </c>
      <c r="E5" s="42" t="s">
        <v>149</v>
      </c>
    </row>
    <row r="6" spans="1:5" ht="29" thickBot="1">
      <c r="A6" s="41" t="s">
        <v>150</v>
      </c>
      <c r="B6" s="34" t="s">
        <v>401</v>
      </c>
      <c r="C6" s="34" t="s">
        <v>402</v>
      </c>
      <c r="D6" s="34" t="s">
        <v>403</v>
      </c>
      <c r="E6" s="42" t="s">
        <v>153</v>
      </c>
    </row>
    <row r="7" spans="1:5" ht="29" thickBot="1">
      <c r="A7" s="41" t="s">
        <v>154</v>
      </c>
      <c r="B7" s="34" t="s">
        <v>404</v>
      </c>
      <c r="C7" s="34" t="s">
        <v>405</v>
      </c>
      <c r="D7" s="34" t="s">
        <v>406</v>
      </c>
      <c r="E7" s="42" t="s">
        <v>157</v>
      </c>
    </row>
    <row r="8" spans="1:5" ht="29" thickBot="1">
      <c r="A8" s="41" t="s">
        <v>407</v>
      </c>
      <c r="B8" s="34" t="s">
        <v>408</v>
      </c>
      <c r="C8" s="34" t="s">
        <v>409</v>
      </c>
      <c r="D8" s="34" t="s">
        <v>410</v>
      </c>
      <c r="E8" s="42" t="s">
        <v>411</v>
      </c>
    </row>
    <row r="9" spans="1:5" ht="29" thickBot="1">
      <c r="A9" s="41" t="s">
        <v>412</v>
      </c>
      <c r="B9" s="34" t="s">
        <v>413</v>
      </c>
      <c r="C9" s="34" t="s">
        <v>414</v>
      </c>
      <c r="D9" s="37"/>
      <c r="E9" s="42" t="s">
        <v>415</v>
      </c>
    </row>
    <row r="10" spans="1:5" ht="29" thickBot="1">
      <c r="A10" s="41" t="s">
        <v>416</v>
      </c>
      <c r="B10" s="34" t="s">
        <v>417</v>
      </c>
      <c r="C10" s="34" t="s">
        <v>418</v>
      </c>
      <c r="D10" s="34" t="s">
        <v>419</v>
      </c>
      <c r="E10" s="42" t="s">
        <v>420</v>
      </c>
    </row>
    <row r="11" spans="1:5" ht="29" thickBot="1">
      <c r="A11" s="41" t="s">
        <v>421</v>
      </c>
      <c r="B11" s="34" t="s">
        <v>422</v>
      </c>
      <c r="C11" s="34" t="s">
        <v>423</v>
      </c>
      <c r="D11" s="34" t="s">
        <v>424</v>
      </c>
      <c r="E11" s="42" t="s">
        <v>425</v>
      </c>
    </row>
    <row r="12" spans="1:5" ht="29" thickBot="1">
      <c r="A12" s="41" t="s">
        <v>171</v>
      </c>
      <c r="B12" s="34" t="s">
        <v>426</v>
      </c>
      <c r="C12" s="34" t="s">
        <v>423</v>
      </c>
      <c r="D12" s="34" t="s">
        <v>427</v>
      </c>
      <c r="E12" s="42" t="s">
        <v>174</v>
      </c>
    </row>
    <row r="13" spans="1:5" ht="29" thickBot="1">
      <c r="A13" s="41" t="s">
        <v>175</v>
      </c>
      <c r="B13" s="34" t="s">
        <v>428</v>
      </c>
      <c r="C13" s="34" t="s">
        <v>429</v>
      </c>
      <c r="D13" s="34" t="s">
        <v>430</v>
      </c>
      <c r="E13" s="42" t="s">
        <v>178</v>
      </c>
    </row>
    <row r="14" spans="1:5" ht="29" thickBot="1">
      <c r="A14" s="43" t="s">
        <v>179</v>
      </c>
      <c r="B14" s="35" t="s">
        <v>431</v>
      </c>
      <c r="C14" s="35" t="s">
        <v>432</v>
      </c>
      <c r="D14" s="34" t="s">
        <v>433</v>
      </c>
      <c r="E14" s="44" t="s">
        <v>182</v>
      </c>
    </row>
    <row r="15" spans="1:5" ht="28">
      <c r="A15" s="45"/>
      <c r="B15" s="36"/>
      <c r="C15" s="36"/>
      <c r="D15" s="35" t="s">
        <v>434</v>
      </c>
      <c r="E15" s="46"/>
    </row>
    <row r="16" spans="1:5">
      <c r="A16" s="47"/>
      <c r="B16" s="48"/>
      <c r="C16" s="48"/>
      <c r="D16" s="49"/>
      <c r="E16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C1 Thermal 6_10_26</vt:lpstr>
      <vt:lpstr>C2 Thermal 4_13_26</vt:lpstr>
      <vt:lpstr>Thermal 3_18_26</vt:lpstr>
      <vt:lpstr>Thermal 3_05_26</vt:lpstr>
      <vt:lpstr>Coil 2 Resistance 6_15_26</vt:lpstr>
      <vt:lpstr>Coil 1 Resistance 6_15_26</vt:lpstr>
      <vt:lpstr>Resistance 2_19_26</vt:lpstr>
      <vt:lpstr>Coil 1 Resistance 7_29_25 (UTD)</vt:lpstr>
      <vt:lpstr>Coil 2 Resistance 8_01_25 (UTD)</vt:lpstr>
      <vt:lpstr>Coil 1 B-Field 8_04_25 (UTD)</vt:lpstr>
      <vt:lpstr>Coil 2 B-Field 8_13_25 (UTD)</vt:lpstr>
      <vt:lpstr>Coil 1 Temps 8_7_25 PC (UTD)</vt:lpstr>
      <vt:lpstr>Coil 2 Temps 8_7_25 PC (UTD) </vt:lpstr>
      <vt:lpstr>Bitter Coil Impedance 1_25_24 </vt:lpstr>
      <vt:lpstr>Coil Temps SC 7_23_25</vt:lpstr>
      <vt:lpstr>Coil 1 Temps 7_30_25 SC</vt:lpstr>
      <vt:lpstr>Coil 1 Resistance 7_28_25</vt:lpstr>
      <vt:lpstr> Old Coil 1 Resistance 7_21_25</vt:lpstr>
      <vt:lpstr>Old Coil 2 Resistance 7_21_25</vt:lpstr>
      <vt:lpstr>Coil 1 Resistance 7_8_25</vt:lpstr>
      <vt:lpstr>Coil 2 Resistance 7_8_25</vt:lpstr>
      <vt:lpstr>Coil 1 Resistance 6_25_25</vt:lpstr>
      <vt:lpstr>Coil 2 Resistance 6_24_25</vt:lpstr>
      <vt:lpstr>Coil Resistance 6_20_25</vt:lpstr>
      <vt:lpstr>Coil Resistance 4_24_25</vt:lpstr>
      <vt:lpstr>Coil Resistance 10_24_24</vt:lpstr>
      <vt:lpstr>Coil Resistance 5_2_24</vt:lpstr>
      <vt:lpstr>Coil Resistance 4_24_24</vt:lpstr>
      <vt:lpstr>Coil Resistance 5_2_23</vt:lpstr>
      <vt:lpstr>Coil Resistance 4_26_23</vt:lpstr>
      <vt:lpstr>Temps 5_2_24 (WW)</vt:lpstr>
      <vt:lpstr>Temps 5_2_24 (2) (WW)</vt:lpstr>
      <vt:lpstr>Temps 4_26_24  (WW)</vt:lpstr>
      <vt:lpstr>Temps 1_25_24 (4) (WW)</vt:lpstr>
      <vt:lpstr>Temps 1_25_24 (3) (WW)</vt:lpstr>
      <vt:lpstr>B-Field Coil 2 8_04_25 New Coil</vt:lpstr>
      <vt:lpstr>Coil B_Field 5_9_24</vt:lpstr>
      <vt:lpstr>Coil B_Field 11_27_23</vt:lpstr>
      <vt:lpstr>Coil B_Fields 11_27_23 (2)</vt:lpstr>
      <vt:lpstr>Coil B_Fields 11_27_23 (3)</vt:lpstr>
      <vt:lpstr>Coil B_Fields 11_27_23 (4)</vt:lpstr>
      <vt:lpstr>Coil B_Fields 11_6_23</vt:lpstr>
      <vt:lpstr>Coil B_Fields 11_1_23</vt:lpstr>
      <vt:lpstr>Coil B_Fields 11_1_23 (2)</vt:lpstr>
      <vt:lpstr>Coil Inductance 1_25_24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Henry Ando</cp:lastModifiedBy>
  <cp:revision/>
  <dcterms:created xsi:type="dcterms:W3CDTF">2026-04-13T19:14:51Z</dcterms:created>
  <dcterms:modified xsi:type="dcterms:W3CDTF">2026-06-17T19:01:53Z</dcterms:modified>
  <cp:category/>
  <cp:contentStatus/>
</cp:coreProperties>
</file>